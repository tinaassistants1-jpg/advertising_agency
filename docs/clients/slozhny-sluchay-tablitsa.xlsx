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ыло — Стало" sheetId="1" state="visible" r:id="rId1"/>
    <sheet name="Тест 1000 €" sheetId="2" state="visible" r:id="rId2"/>
    <sheet name="Воронка полная" sheetId="3" state="visible" r:id="rId3"/>
    <sheet name="Meta ретаргетинг" sheetId="4" state="visible" r:id="rId4"/>
    <sheet name="Meta холодный" sheetId="5" state="visible" r:id="rId5"/>
    <sheet name="VK Реклама" sheetId="6" state="visible" r:id="rId6"/>
    <sheet name="Посевы Telegram" sheetId="7" state="visible" r:id="rId7"/>
    <sheet name="Яндекс брен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C1815"/>
      <sz val="15"/>
    </font>
    <font>
      <name val="Arial"/>
      <b val="1"/>
      <color rgb="00FFFFFF"/>
      <sz val="11"/>
    </font>
    <font>
      <name val="Arial"/>
      <b val="1"/>
      <color rgb="001C1815"/>
      <sz val="11"/>
    </font>
    <font>
      <name val="Arial"/>
      <color rgb="006B6B6B"/>
      <sz val="10"/>
    </font>
    <font>
      <name val="Arial"/>
      <color rgb="001C1815"/>
      <sz val="10"/>
    </font>
    <font>
      <name val="Arial"/>
      <b val="1"/>
      <color rgb="00C6633A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C6633A"/>
      <sz val="10"/>
    </font>
    <font>
      <name val="Arial"/>
      <b val="1"/>
      <color rgb="00EDE6DB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C6633A"/>
      </patternFill>
    </fill>
    <fill>
      <patternFill patternType="solid">
        <fgColor rgb="00FBF8F3"/>
      </patternFill>
    </fill>
    <fill>
      <patternFill patternType="solid">
        <fgColor rgb="00F4EFE7"/>
      </patternFill>
    </fill>
    <fill>
      <patternFill patternType="solid">
        <fgColor rgb="001C1815"/>
      </patternFill>
    </fill>
  </fills>
  <borders count="3">
    <border>
      <left/>
      <right/>
      <top/>
      <bottom/>
      <diagonal/>
    </border>
    <border>
      <left style="thin">
        <color rgb="00D8CFC4"/>
      </left>
      <right style="thin">
        <color rgb="00D8CFC4"/>
      </right>
      <top style="thin">
        <color rgb="00D8CFC4"/>
      </top>
      <bottom style="thin">
        <color rgb="00D8CFC4"/>
      </bottom>
    </border>
    <border>
      <bottom style="thin">
        <color rgb="00D9D2C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11" fillId="5" borderId="0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4" borderId="0" pivotButton="0" quotePrefix="0" xfId="0"/>
    <xf numFmtId="0" fontId="8" fillId="4" borderId="0" applyAlignment="1" pivotButton="0" quotePrefix="0" xfId="0">
      <alignment vertical="top" wrapText="1"/>
    </xf>
    <xf numFmtId="0" fontId="0" fillId="4" borderId="0" pivotButton="0" quotePrefix="0" xfId="0"/>
    <xf numFmtId="0" fontId="11" fillId="5" borderId="2" applyAlignment="1" pivotButton="0" quotePrefix="0" xfId="0">
      <alignment vertical="center" wrapText="1"/>
    </xf>
    <xf numFmtId="0" fontId="8" fillId="0" borderId="2" pivotButton="0" quotePrefix="0" xfId="0"/>
    <xf numFmtId="0" fontId="7" fillId="0" borderId="2" pivotButton="0" quotePrefix="0" xfId="0"/>
    <xf numFmtId="0" fontId="0" fillId="0" borderId="2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60" customWidth="1" min="3" max="3"/>
  </cols>
  <sheetData>
    <row r="1" ht="30" customHeight="1">
      <c r="A1" s="1" t="inlineStr">
        <is>
          <t>«Сложный случай» (МИГ) — что было и что изменится</t>
        </is>
      </c>
    </row>
    <row r="2" ht="22" customHeight="1">
      <c r="A2" s="2" t="inlineStr">
        <is>
          <t>Раздел</t>
        </is>
      </c>
      <c r="B2" s="2" t="inlineStr">
        <is>
          <t>Что было</t>
        </is>
      </c>
      <c r="C2" s="2" t="inlineStr">
        <is>
          <t>Что изменится</t>
        </is>
      </c>
    </row>
    <row r="3">
      <c r="A3" s="3" t="inlineStr">
        <is>
          <t>Нейминг / позиционирование</t>
        </is>
      </c>
      <c r="B3" s="4" t="inlineStr">
        <is>
          <t>«ППК — Программа повышения квалификации в МИГ». Продукт-оглавление, без обещания.</t>
        </is>
      </c>
      <c r="C3" s="5" t="inlineStr">
        <is>
          <t>«Сложный случай» — мастер-группа по сложным случаям. Одно обещание: «сложные клиенты перестанут быть страшными + круг коллег».</t>
        </is>
      </c>
    </row>
    <row r="4">
      <c r="A4" s="6" t="inlineStr">
        <is>
          <t>Сайт</t>
        </is>
      </c>
      <c r="B4" s="7" t="inlineStr">
        <is>
          <t>Сайта нет — только оранжевые постеры-расписания (PNG на Google Drive). Стена дат/тем/преподавателей, перегруз, нет иерархии и CTA.</t>
        </is>
      </c>
      <c r="C4" s="8" t="inlineStr">
        <is>
          <t>Полноценный лендинг (11 блоков): обещание → 3 опоры (Узкие темы · Супервизия · Комьюнити) → честный фильтр ЦА → тарифы → демо-день. Адаптив, аналитика-цель, ТЗ, ссылка.</t>
        </is>
      </c>
    </row>
    <row r="5">
      <c r="A5" s="3" t="inlineStr">
        <is>
          <t>Структура / логика</t>
        </is>
      </c>
      <c r="B5" s="4" t="inlineStr">
        <is>
          <t>«Вывалить всё сразу»: 16 тем + супервизии + конференции + лекции в одном экране.</t>
        </is>
      </c>
      <c r="C5" s="5" t="inlineStr">
        <is>
          <t>Одно обещание → 3 простых блока → детали по клику. 16 тем свёрнуты. Ясность вместо перегруза.</t>
        </is>
      </c>
    </row>
    <row r="6">
      <c r="A6" s="6" t="inlineStr">
        <is>
          <t>Креативы</t>
        </is>
      </c>
      <c r="B6" s="7" t="inlineStr">
        <is>
          <t>Оранжевый градиент с зерном, узкий all-caps, стена дат/тем в кадре. Живые названия семинаров похоронены в списке.</t>
        </is>
      </c>
      <c r="C6" s="8" t="inlineStr">
        <is>
          <t>Серия из 6 промо: один крючок (название семинара) на кадр, тёмный тёплый фон + терракота, крупный заголовок, воздух. Переиспользуемый шаблон.</t>
        </is>
      </c>
    </row>
    <row r="7">
      <c r="A7" s="3" t="inlineStr">
        <is>
          <t>Реклама / воронка</t>
        </is>
      </c>
      <c r="B7" s="4" t="inlineStr">
        <is>
          <t>Meta вела на непонятный перегруженный оффер; слабая упаковка → низкий CR; страх продавать дороже. Каналы: Instagram / Telegram / Facebook / партнёрки.</t>
        </is>
      </c>
      <c r="C7" s="5" t="inlineStr">
        <is>
          <t>Ясный оффер + крючок-креативы (↑CTR) + лендинг с целью «демо-день». Модель воронки: CPL-демо ≈ $4–13, CAC ≈ $50–200. Ретаргет + ставка на сарафан. План бюджета — после цифр Вали.</t>
        </is>
      </c>
    </row>
    <row r="8">
      <c r="A8" s="6" t="inlineStr">
        <is>
          <t>Тарифы / цена</t>
        </is>
      </c>
      <c r="B8" s="7" t="inlineStr">
        <is>
          <t>Тарифы без ясной лестницы; страх поднимать цену премиума.</t>
        </is>
      </c>
      <c r="C8" s="8" t="inlineStr">
        <is>
          <t>3 ступени: Слушатель → Практик (реком.) → Всё включено (+ ЦИФРА-полный с поддержкой). Премиум усилить и поднять в цене.</t>
        </is>
      </c>
    </row>
    <row r="9">
      <c r="A9" s="3" t="inlineStr">
        <is>
          <t>Цвета</t>
        </is>
      </c>
      <c r="B9" s="4" t="inlineStr">
        <is>
          <t>Оранжевый градиент (~#DE7B3C) + белый текст + зернистая текстура. Глянцевато, ближе к инфобизнесу.</t>
        </is>
      </c>
      <c r="C9" s="5" t="inlineStr">
        <is>
          <t>Фон #1C1815 · текст #EDE6DB · акцент терракота #C6633A (повзрослевший оранж, ДНК сохранена) · muted #C7BCAC · faint #9A8F81. Тихая роскошь.</t>
        </is>
      </c>
    </row>
    <row r="10">
      <c r="A10" s="6" t="inlineStr">
        <is>
          <t>Шрифты / типографика</t>
        </is>
      </c>
      <c r="B10" s="7" t="inlineStr">
        <is>
          <t>Узкий all-caps гротеск, плотная вёрстка.</t>
        </is>
      </c>
      <c r="C10" s="8" t="inlineStr">
        <is>
          <t>Inter Tight (заголовки) + Inter (текст) + IBM Plex Mono (мета/лейблы), кириллица, воздух. Пара с антиквой Prata — на будущее.</t>
        </is>
      </c>
    </row>
    <row r="11">
      <c r="A11" s="3" t="inlineStr">
        <is>
          <t>Логотип</t>
        </is>
      </c>
      <c r="B11" s="4" t="inlineStr">
        <is>
          <t>Растровый логотип внутри постеров.</t>
        </is>
      </c>
      <c r="C11" s="5" t="inlineStr">
        <is>
          <t>Реальный вектор-логотип МИГ (SVG), белый знак на тёмном фоне.</t>
        </is>
      </c>
    </row>
    <row r="13">
      <c r="A13" s="10" t="inlineStr">
        <is>
          <t>Лид-магнит / событие</t>
        </is>
      </c>
      <c r="B13" s="11" t="inlineStr">
        <is>
          <t>ДОД (день открытых дверей) 1–2 раза в год; в 2026 промо-ивентов нет, только видеозаписи.</t>
        </is>
      </c>
      <c r="C13" s="11" t="inlineStr">
        <is>
          <t>«Демо-день» как постоянный вход в воронку + возврат промо-семинаров преподавателей (механика 2025: 7 вебинаров по 22–36 регистраций дали конверсию лид→студент 7–9%). 2–3 события в август–сентябрь, далее ежемесячно.</t>
        </is>
      </c>
    </row>
    <row r="14">
      <c r="A14" s="10" t="inlineStr">
        <is>
          <t>Обработка лидов</t>
        </is>
      </c>
      <c r="B14" s="11" t="inlineStr">
        <is>
          <t>Лидформы собирают дёшево (CPL ~5 €), но 90% лидов в игноре; первое касание медленное; продажа ~1%.</t>
        </is>
      </c>
      <c r="C14" s="11" t="inlineStr">
        <is>
          <t>Регламент первого касания ≤ 1 часа (по HBR это ×7 к квалификации); welcome-сообщение сразу после формы; квал-вопросы в лидформе (стаж, запрос); реанимационная WhatsApp-цепочка по 95 июльским лидам; единая таблица лидов со статусами.</t>
        </is>
      </c>
    </row>
    <row r="15">
      <c r="A15" s="10" t="inlineStr">
        <is>
          <t>Каналы закупки</t>
        </is>
      </c>
      <c r="B15" s="11" t="inlineStr">
        <is>
          <t>Фактически только Meta-лидформы (Instagram/Facebook), партнёрки от случая к случаю.</t>
        </is>
      </c>
      <c r="C15" s="11" t="inlineStr">
        <is>
          <t>Модель на 2 500 € по вероятности продажи: база МИГ (0 €) → ретаргетинг Meta (300 €) → VK на ИП (400 €) → посевы Telegram (600 €) → Meta холодный (700 €) → резерв в лидера (500 €) + бренд-защита в Яндексе (~150 €). Stop-loss правила на каждый канал.</t>
        </is>
      </c>
    </row>
    <row r="16">
      <c r="A16" s="10" t="inlineStr">
        <is>
          <t>База и email</t>
        </is>
      </c>
      <c r="B16" s="11" t="inlineStr">
        <is>
          <t>База студентов и подписчиков в рассылках почти не задействована для продаж потока.</t>
        </is>
      </c>
      <c r="C16" s="11" t="inlineStr">
        <is>
          <t>База — канал №1 (в 2025 дал половину студентов): 2–3 письма по базе + посты в TG/VK МИГ + анонсы демо-дней. Бесплатно; запускается до платного трафика.</t>
        </is>
      </c>
    </row>
    <row r="17">
      <c r="A17" s="10" t="inlineStr">
        <is>
          <t>Цикл сделки</t>
        </is>
      </c>
      <c r="B17" s="11" t="inlineStr">
        <is>
          <t>64 дня от заявки до предоплаты (в среднем), отдельные сделки зреют 250+ дней; прогрев стихийный.</t>
        </is>
      </c>
      <c r="C17" s="11" t="inlineStr">
        <is>
          <t>Ранняя цена до 30.09 как честный ускоритель цикла; цепочки касаний (WhatsApp + email) между заявкой и оплатой; прогрев стартует в августе, а не за месяц до старта.</t>
        </is>
      </c>
    </row>
    <row r="18">
      <c r="A18" s="10" t="inlineStr">
        <is>
          <t>Сегменты ЦА</t>
        </is>
      </c>
      <c r="B18" s="11" t="inlineStr">
        <is>
          <t>«Все психологи» без фильтра; страх отсечь лишних.</t>
        </is>
      </c>
      <c r="C18" s="11" t="inlineStr">
        <is>
          <t>Фильтр по данным опроса n=170: ядро — практикующие с 1–7 клиентами (48%), отдельные посылы для опытных (супервизия, узкие темы). Честный блок «кому не подойдёт» на лендинге.</t>
        </is>
      </c>
    </row>
    <row r="19">
      <c r="A19" s="10" t="inlineStr">
        <is>
          <t>Тексты и тон</t>
        </is>
      </c>
      <c r="B19" s="11" t="inlineStr">
        <is>
          <t>Тексты-перечисления (даты, темы, регалии), канцелярит анонсов.</t>
        </is>
      </c>
      <c r="C19" s="11" t="inlineStr">
        <is>
          <t>Живой язык болей из касдева («клиенты, после которых сидишь и думаешь: а что дальше?»); правило агентства: каждый текст проходит проверку на ИИ-след и вычитку журналистом до публикации.</t>
        </is>
      </c>
    </row>
    <row r="20">
      <c r="A20" s="10" t="inlineStr">
        <is>
          <t>Аналитика и отчётность</t>
        </is>
      </c>
      <c r="B20" s="11" t="inlineStr">
        <is>
          <t>Разрозненные таблицы (цикл сделки, затраты, лиды) без единой картины; решения по ощущениям.</t>
        </is>
      </c>
      <c r="C20" s="11" t="inlineStr">
        <is>
          <t>Единая таблица лидов (источник → статус → касания → оплата); еженедельный отчёт: расход, CPL, квал-CPL, продажи, CAC по каналам; еженедельный пересчёт бюджетной модели по факту.</t>
        </is>
      </c>
    </row>
    <row r="21">
      <c r="A21" s="10" t="inlineStr">
        <is>
          <t>Исследования / касдев</t>
        </is>
      </c>
      <c r="B21" s="11" t="inlineStr">
        <is>
          <t>Опрос n=170 сделан под «Цифру»; по ППК/«Сложному случаю» собственных данных нет.</t>
        </is>
      </c>
      <c r="C21" s="11" t="inlineStr">
        <is>
          <t>Касдев в 3 волны: анкета в регистрации демо-дня (август) → 8–12 глубинных интервью (сентябрь) → количественный опрос базы с ценовой методикой Van Westendorp. Результат — калибровка офферов и цен.</t>
        </is>
      </c>
    </row>
    <row r="22">
      <c r="A22" s="10" t="inlineStr">
        <is>
          <t>Реферальная механика</t>
        </is>
      </c>
      <c r="B22" s="11" t="inlineStr">
        <is>
          <t>Сарафан работает стихийно («узнала от друзей», «по рекомендации студентки») — не управляется.</t>
        </is>
      </c>
      <c r="C22" s="11" t="inlineStr">
        <is>
          <t>Формализованная реферальная программа для студентов и выпускников: вознаграждение/скидка за приведённого коллегу, промокоды для отслеживания. CAC фиксированный ~250 € — ниже любого платного канала.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24" customWidth="1" min="6" max="6"/>
    <col width="18" customWidth="1" min="7" max="7"/>
  </cols>
  <sheetData>
    <row r="1">
      <c r="A1" s="12" t="inlineStr">
        <is>
          <t>«Сложный случай» · план теста: 1 000 € по источникам</t>
        </is>
      </c>
    </row>
    <row r="2">
      <c r="A2" s="13" t="inlineStr">
        <is>
          <t>Тест-фаза из общего лимита 2 000–3 000 €. Победители теста получают остаток бюджета на масштабирование (15.09–30.09).</t>
        </is>
      </c>
    </row>
    <row r="4">
      <c r="A4" s="14" t="inlineStr">
        <is>
          <t>Источник</t>
        </is>
      </c>
      <c r="B4" s="14" t="inlineStr">
        <is>
          <t>Бюджет €</t>
        </is>
      </c>
      <c r="C4" s="14" t="inlineStr">
        <is>
          <t>Цель CPL €</t>
        </is>
      </c>
      <c r="D4" s="14" t="inlineStr">
        <is>
          <t>Ожид. лиды</t>
        </is>
      </c>
      <c r="E4" s="14" t="inlineStr">
        <is>
          <t>Ожид. продажи</t>
        </is>
      </c>
      <c r="F4" s="14" t="inlineStr">
        <is>
          <t>Стоп-лосс</t>
        </is>
      </c>
      <c r="G4" s="14" t="inlineStr">
        <is>
          <t>Лист трекинга</t>
        </is>
      </c>
    </row>
    <row r="5">
      <c r="A5" s="15" t="inlineStr">
        <is>
          <t>База МИГ + демо-день (письма, TG, соцсети)</t>
        </is>
      </c>
      <c r="B5" s="16" t="n">
        <v>0</v>
      </c>
      <c r="C5" s="16" t="inlineStr">
        <is>
          <t>—</t>
        </is>
      </c>
      <c r="D5" s="16" t="inlineStr">
        <is>
          <t>—</t>
        </is>
      </c>
      <c r="E5" s="16" t="inlineStr">
        <is>
          <t>2–4</t>
        </is>
      </c>
      <c r="F5" s="16" t="inlineStr">
        <is>
          <t>—</t>
        </is>
      </c>
      <c r="G5" s="16" t="inlineStr">
        <is>
          <t>—</t>
        </is>
      </c>
    </row>
    <row r="6">
      <c r="A6" s="15" t="inlineStr">
        <is>
          <t>Meta ретаргетинг</t>
        </is>
      </c>
      <c r="B6" s="16" t="n">
        <v>150</v>
      </c>
      <c r="C6" s="16" t="n">
        <v>10</v>
      </c>
      <c r="D6" s="16" t="n">
        <v>15</v>
      </c>
      <c r="E6" s="16" t="inlineStr">
        <is>
          <t>1–2</t>
        </is>
      </c>
      <c r="F6" s="16" t="inlineStr">
        <is>
          <t>150 € без квал-лида</t>
        </is>
      </c>
      <c r="G6" s="16" t="inlineStr">
        <is>
          <t>Meta ретаргетинг</t>
        </is>
      </c>
    </row>
    <row r="7">
      <c r="A7" s="15" t="inlineStr">
        <is>
          <t>VK Реклама (РФ, ИП)</t>
        </is>
      </c>
      <c r="B7" s="16" t="n">
        <v>200</v>
      </c>
      <c r="C7" s="16" t="n">
        <v>8</v>
      </c>
      <c r="D7" s="16" t="n">
        <v>25</v>
      </c>
      <c r="E7" s="16" t="inlineStr">
        <is>
          <t>1–2</t>
        </is>
      </c>
      <c r="F7" s="16" t="inlineStr">
        <is>
          <t>120 € без квал-лида</t>
        </is>
      </c>
      <c r="G7" s="16" t="inlineStr">
        <is>
          <t>VK Реклама</t>
        </is>
      </c>
    </row>
    <row r="8">
      <c r="A8" s="15" t="inlineStr">
        <is>
          <t>Посевы Telegram</t>
        </is>
      </c>
      <c r="B8" s="16" t="n">
        <v>300</v>
      </c>
      <c r="C8" s="16" t="n">
        <v>15</v>
      </c>
      <c r="D8" s="16" t="n">
        <v>20</v>
      </c>
      <c r="E8" s="16" t="inlineStr">
        <is>
          <t>~1</t>
        </is>
      </c>
      <c r="F8" s="16" t="inlineStr">
        <is>
          <t>сверка после 2 каналов</t>
        </is>
      </c>
      <c r="G8" s="16" t="inlineStr">
        <is>
          <t>Посевы Telegram</t>
        </is>
      </c>
    </row>
    <row r="9">
      <c r="A9" s="15" t="inlineStr">
        <is>
          <t>Meta холодный</t>
        </is>
      </c>
      <c r="B9" s="16" t="n">
        <v>250</v>
      </c>
      <c r="C9" s="16" t="n">
        <v>25</v>
      </c>
      <c r="D9" s="16" t="n">
        <v>10</v>
      </c>
      <c r="E9" s="16" t="inlineStr">
        <is>
          <t>~1</t>
        </is>
      </c>
      <c r="F9" s="16" t="inlineStr">
        <is>
          <t>250 € без квал-лида</t>
        </is>
      </c>
      <c r="G9" s="16" t="inlineStr">
        <is>
          <t>Meta холодный</t>
        </is>
      </c>
    </row>
    <row r="10">
      <c r="A10" s="15" t="inlineStr">
        <is>
          <t>Яндекс бренд-защита</t>
        </is>
      </c>
      <c r="B10" s="16" t="n">
        <v>100</v>
      </c>
      <c r="C10" s="16" t="n">
        <v>10</v>
      </c>
      <c r="D10" s="16" t="n">
        <v>10</v>
      </c>
      <c r="E10" s="16" t="inlineStr">
        <is>
          <t>~1</t>
        </is>
      </c>
      <c r="F10" s="16" t="inlineStr">
        <is>
          <t>только бренд-запросы</t>
        </is>
      </c>
      <c r="G10" s="16" t="inlineStr">
        <is>
          <t>Яндекс бренд</t>
        </is>
      </c>
    </row>
    <row r="11">
      <c r="A11" s="17" t="inlineStr">
        <is>
          <t>ИТОГО</t>
        </is>
      </c>
      <c r="B11" s="17">
        <f>SUM(B5:B10)</f>
        <v/>
      </c>
      <c r="E11" s="17" t="inlineStr">
        <is>
          <t>6–11</t>
        </is>
      </c>
    </row>
    <row r="13">
      <c r="A13" s="13" t="inlineStr">
        <is>
          <t>Правила: (1) первое касание лида ≤ 1 часа; (2) все лиды в единую таблицу с источником (UTM);</t>
        </is>
      </c>
    </row>
    <row r="14">
      <c r="A14" s="13" t="inlineStr">
        <is>
          <t>(3) еженедельный пересчёт: факт против цели, деньги перекладываются в лидера по фактическому CAC;</t>
        </is>
      </c>
    </row>
    <row r="15">
      <c r="A15" s="13" t="inlineStr">
        <is>
          <t>(4) решения о масштабировании — по CAC и доходимости до демо-дня, не по CPL.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32" customWidth="1" min="4" max="4"/>
    <col width="18" customWidth="1" min="5" max="5"/>
    <col width="26" customWidth="1" min="6" max="6"/>
    <col width="16" customWidth="1" min="7" max="7"/>
    <col width="14" customWidth="1" min="8" max="8"/>
    <col width="14" customWidth="1" min="9" max="9"/>
    <col width="12" customWidth="1" min="10" max="10"/>
  </cols>
  <sheetData>
    <row r="1">
      <c r="A1" s="12" t="inlineStr">
        <is>
          <t>«Сложный случай» · полная воронка: маркетинг → продажи → удержание</t>
        </is>
      </c>
    </row>
    <row r="2">
      <c r="A2" s="13" t="inlineStr">
        <is>
          <t>План-конверсии: факт МИГ 2025 (138 лидов → 10 студентов с рекламы, 7–9%) + бенчмарки. Обновляются фактом еженедельно.</t>
        </is>
      </c>
    </row>
    <row r="4">
      <c r="A4" s="9" t="inlineStr">
        <is>
          <t>А. ВОРОНКА МАРКЕТИНГА-РЕКЛАМЫ (бюджет → квал-лид)</t>
        </is>
      </c>
    </row>
    <row r="5">
      <c r="A5" s="14" t="inlineStr">
        <is>
          <t>№</t>
        </is>
      </c>
      <c r="B5" s="14" t="inlineStr">
        <is>
          <t>Этап</t>
        </is>
      </c>
      <c r="C5" s="14" t="inlineStr">
        <is>
          <t>Критерий перехода дальше</t>
        </is>
      </c>
      <c r="D5" s="14" t="inlineStr">
        <is>
          <t>Инструмент / канал</t>
        </is>
      </c>
      <c r="E5" s="14" t="inlineStr">
        <is>
          <t>Ответственный</t>
        </is>
      </c>
      <c r="F5" s="14" t="inlineStr">
        <is>
          <t>Метрика этапа</t>
        </is>
      </c>
      <c r="G5" s="14" t="inlineStr">
        <is>
          <t>План-конверсия</t>
        </is>
      </c>
      <c r="H5" s="14" t="inlineStr">
        <is>
          <t>Тест 1 000 €</t>
        </is>
      </c>
      <c r="I5" s="14" t="inlineStr">
        <is>
          <t>Полный 2 500 €</t>
        </is>
      </c>
      <c r="J5" s="14" t="inlineStr">
        <is>
          <t>Факт</t>
        </is>
      </c>
    </row>
    <row r="6">
      <c r="A6" s="15" t="inlineStr">
        <is>
          <t>A1</t>
        </is>
      </c>
      <c r="B6" s="16" t="inlineStr">
        <is>
          <t>Показ рекламы</t>
        </is>
      </c>
      <c r="C6" s="16" t="inlineStr">
        <is>
          <t>Увидел объявление/пост</t>
        </is>
      </c>
      <c r="D6" s="16" t="inlineStr">
        <is>
          <t>Meta (ретаргетинг+холод), VK, посевы TG, Яндекс бренд, органика IG/TG</t>
        </is>
      </c>
      <c r="E6" s="16" t="inlineStr">
        <is>
          <t>Таргетолог / агентство</t>
        </is>
      </c>
      <c r="F6" s="16" t="inlineStr">
        <is>
          <t>Показы, CPM</t>
        </is>
      </c>
      <c r="G6" s="16" t="inlineStr">
        <is>
          <t>CTR ~1,3% (факт 2026)</t>
        </is>
      </c>
      <c r="H6" s="16" t="inlineStr">
        <is>
          <t>~150 000</t>
        </is>
      </c>
      <c r="I6" s="16" t="inlineStr">
        <is>
          <t>~380 000</t>
        </is>
      </c>
      <c r="J6" s="16" t="inlineStr"/>
    </row>
    <row r="7">
      <c r="A7" s="15" t="inlineStr">
        <is>
          <t>A2</t>
        </is>
      </c>
      <c r="B7" s="16" t="inlineStr">
        <is>
          <t>Клик / переход</t>
        </is>
      </c>
      <c r="C7" s="16" t="inlineStr">
        <is>
          <t>Перешёл на посадочную</t>
        </is>
      </c>
      <c r="D7" s="16" t="inlineStr">
        <is>
          <t>Лендинг «Сложный случай» / лид-форма / пост</t>
        </is>
      </c>
      <c r="E7" s="16" t="inlineStr">
        <is>
          <t>Таргетолог</t>
        </is>
      </c>
      <c r="F7" s="16" t="inlineStr">
        <is>
          <t>Клики, CPC ~0,4–0,7 €</t>
        </is>
      </c>
      <c r="G7" s="16" t="inlineStr">
        <is>
          <t>~35% в лид*</t>
        </is>
      </c>
      <c r="H7" s="16" t="inlineStr">
        <is>
          <t>~2 000</t>
        </is>
      </c>
      <c r="I7" s="16" t="inlineStr">
        <is>
          <t>~5 000</t>
        </is>
      </c>
      <c r="J7" s="16" t="inlineStr"/>
    </row>
    <row r="8">
      <c r="A8" s="15" t="inlineStr">
        <is>
          <t>A3</t>
        </is>
      </c>
      <c r="B8" s="16" t="inlineStr">
        <is>
          <t>Лид (заявка/регистрация)</t>
        </is>
      </c>
      <c r="C8" s="16" t="inlineStr">
        <is>
          <t>Оставил контакт: демо-день, 9 лекций, вопрос</t>
        </is>
      </c>
      <c r="D8" s="16" t="inlineStr">
        <is>
          <t>Форма лендинга, лид-форма с квал-вопросами, @iigestalt, WhatsApp</t>
        </is>
      </c>
      <c r="E8" s="16" t="inlineStr">
        <is>
          <t>Формы → единая таблица</t>
        </is>
      </c>
      <c r="F8" s="16" t="inlineStr">
        <is>
          <t>Лиды, CPL (цель 8–25 € по каналу)</t>
        </is>
      </c>
      <c r="G8" s="16" t="inlineStr">
        <is>
          <t>~70% квал</t>
        </is>
      </c>
      <c r="H8" s="16" t="inlineStr">
        <is>
          <t>~80 платн. + ~40 орг. = 120</t>
        </is>
      </c>
      <c r="I8" s="16" t="inlineStr">
        <is>
          <t>~175 платн. + ~60 орг. = 235</t>
        </is>
      </c>
      <c r="J8" s="16" t="inlineStr"/>
    </row>
    <row r="9">
      <c r="A9" s="15" t="inlineStr">
        <is>
          <t>A4</t>
        </is>
      </c>
      <c r="B9" s="16" t="inlineStr">
        <is>
          <t>Квал-лид</t>
        </is>
      </c>
      <c r="C9" s="16" t="inlineStr">
        <is>
          <t>Практикующий/студент послед. года; корректные контакты; ответил</t>
        </is>
      </c>
      <c r="D9" s="16" t="inlineStr">
        <is>
          <t>Квал-вопросы формы + первое касание ≤ 1 часа</t>
        </is>
      </c>
      <c r="E9" s="16" t="inlineStr">
        <is>
          <t>Менеджер МИГ (контроль — агентство)</t>
        </is>
      </c>
      <c r="F9" s="16" t="inlineStr">
        <is>
          <t>Квал-лиды, цена квал-лида (цель ≤ 20–45 €)</t>
        </is>
      </c>
      <c r="G9" s="16" t="inlineStr">
        <is>
          <t>→ в воронку продаж</t>
        </is>
      </c>
      <c r="H9" s="16" t="inlineStr">
        <is>
          <t>~84</t>
        </is>
      </c>
      <c r="I9" s="16" t="inlineStr">
        <is>
          <t>~165</t>
        </is>
      </c>
      <c r="J9" s="16" t="inlineStr"/>
    </row>
    <row r="10">
      <c r="B10" s="27" t="inlineStr">
        <is>
          <t>* лид-формы конвертят выше (нет перехода), лендинг ниже, но чище — считаем смешанно; уточняется тестом</t>
        </is>
      </c>
    </row>
    <row r="12">
      <c r="A12" s="9" t="inlineStr">
        <is>
          <t>Б. ВОРОНКА ПРОДАЖ (CRM МИГ: квал-лид → студент)</t>
        </is>
      </c>
    </row>
    <row r="13">
      <c r="A13" s="14" t="inlineStr">
        <is>
          <t>№</t>
        </is>
      </c>
      <c r="B13" s="14" t="inlineStr">
        <is>
          <t>Этап</t>
        </is>
      </c>
      <c r="C13" s="14" t="inlineStr">
        <is>
          <t>Критерий перехода дальше</t>
        </is>
      </c>
      <c r="D13" s="14" t="inlineStr">
        <is>
          <t>Инструмент / канал</t>
        </is>
      </c>
      <c r="E13" s="14" t="inlineStr">
        <is>
          <t>Ответственный</t>
        </is>
      </c>
      <c r="F13" s="14" t="inlineStr">
        <is>
          <t>Метрика этапа</t>
        </is>
      </c>
      <c r="G13" s="14" t="inlineStr">
        <is>
          <t>План-конверсия</t>
        </is>
      </c>
      <c r="H13" s="14" t="inlineStr">
        <is>
          <t>Тест 1 000 €</t>
        </is>
      </c>
      <c r="I13" s="14" t="inlineStr">
        <is>
          <t>Полный 2 500 €</t>
        </is>
      </c>
      <c r="J13" s="14" t="inlineStr">
        <is>
          <t>Факт</t>
        </is>
      </c>
    </row>
    <row r="14">
      <c r="A14" s="15" t="inlineStr">
        <is>
          <t>Б1</t>
        </is>
      </c>
      <c r="B14" s="16" t="inlineStr">
        <is>
          <t>Новый лид в CRM</t>
        </is>
      </c>
      <c r="C14" s="16" t="inlineStr">
        <is>
          <t>Занесён с источником (UTM) и статусом</t>
        </is>
      </c>
      <c r="D14" s="16" t="inlineStr">
        <is>
          <t>CRM/единая таблица лидов</t>
        </is>
      </c>
      <c r="E14" s="16" t="inlineStr">
        <is>
          <t>Менеджер МИГ</t>
        </is>
      </c>
      <c r="F14" s="16" t="inlineStr">
        <is>
          <t>Скорость занесения (день в день)</t>
        </is>
      </c>
      <c r="G14" s="16" t="inlineStr">
        <is>
          <t>100%</t>
        </is>
      </c>
      <c r="H14" s="16" t="inlineStr">
        <is>
          <t>84</t>
        </is>
      </c>
      <c r="I14" s="16" t="inlineStr">
        <is>
          <t>165</t>
        </is>
      </c>
      <c r="J14" s="16" t="inlineStr"/>
    </row>
    <row r="15">
      <c r="A15" s="15" t="inlineStr">
        <is>
          <t>Б2</t>
        </is>
      </c>
      <c r="B15" s="16" t="inlineStr">
        <is>
          <t>Первое касание</t>
        </is>
      </c>
      <c r="C15" s="16" t="inlineStr">
        <is>
          <t>Исходящее в WhatsApp/TG ≤ 1 часа; ответил на сообщение</t>
        </is>
      </c>
      <c r="D15" s="16" t="inlineStr">
        <is>
          <t>WhatsApp-скрипт (вычитан журналистом)</t>
        </is>
      </c>
      <c r="E15" s="16" t="inlineStr">
        <is>
          <t>Менеджер МИГ</t>
        </is>
      </c>
      <c r="F15" s="16" t="inlineStr">
        <is>
          <t>Доля касаний ≤ 1 ч; доля ответов (цель ≥ 50%, факт 2026 — 10%!)</t>
        </is>
      </c>
      <c r="G15" s="16" t="inlineStr">
        <is>
          <t>~60% в событие</t>
        </is>
      </c>
      <c r="H15" s="16" t="inlineStr">
        <is>
          <t>~50</t>
        </is>
      </c>
      <c r="I15" s="16" t="inlineStr">
        <is>
          <t>~100</t>
        </is>
      </c>
      <c r="J15" s="16" t="inlineStr"/>
    </row>
    <row r="16">
      <c r="A16" s="15" t="inlineStr">
        <is>
          <t>Б3</t>
        </is>
      </c>
      <c r="B16" s="16" t="inlineStr">
        <is>
          <t>Бесплатное событие</t>
        </is>
      </c>
      <c r="C16" s="16" t="inlineStr">
        <is>
          <t>Пришёл на демо-день / MIG.TALKS / посмотрел лекции</t>
        </is>
      </c>
      <c r="D16" s="16" t="inlineStr">
        <is>
          <t>Демо-день, MIG.TALKS, «9 лекций» (автовыдача)</t>
        </is>
      </c>
      <c r="E16" s="16" t="inlineStr">
        <is>
          <t>Агентство (трафик) + МИГ (событие)</t>
        </is>
      </c>
      <c r="F16" s="16" t="inlineStr">
        <is>
          <t>Доходимость (цель ≥ 40–50%, по 2025 — механика работала)</t>
        </is>
      </c>
      <c r="G16" s="16" t="inlineStr">
        <is>
          <t>~50% в собеседование</t>
        </is>
      </c>
      <c r="H16" s="16" t="inlineStr">
        <is>
          <t>~25</t>
        </is>
      </c>
      <c r="I16" s="16" t="inlineStr">
        <is>
          <t>~50</t>
        </is>
      </c>
      <c r="J16" s="16" t="inlineStr"/>
    </row>
    <row r="17">
      <c r="A17" s="15" t="inlineStr">
        <is>
          <t>Б4</t>
        </is>
      </c>
      <c r="B17" s="16" t="inlineStr">
        <is>
          <t>Собеседование</t>
        </is>
      </c>
      <c r="C17" s="16" t="inlineStr">
        <is>
          <t>Записался и пришёл на разговор о программе</t>
        </is>
      </c>
      <c r="D17" s="16" t="inlineStr">
        <is>
          <t>Календарь менеджера; приглашение на событии</t>
        </is>
      </c>
      <c r="E17" s="16" t="inlineStr">
        <is>
          <t>Менеджер / ведущие</t>
        </is>
      </c>
      <c r="F17" s="16" t="inlineStr">
        <is>
          <t>Доля дошедших до собеседования</t>
        </is>
      </c>
      <c r="G17" s="16" t="inlineStr">
        <is>
          <t>~45% в оплату</t>
        </is>
      </c>
      <c r="H17" s="16" t="inlineStr">
        <is>
          <t>~12</t>
        </is>
      </c>
      <c r="I17" s="16" t="inlineStr">
        <is>
          <t>~24</t>
        </is>
      </c>
      <c r="J17" s="16" t="inlineStr"/>
    </row>
    <row r="18">
      <c r="A18" s="15" t="inlineStr">
        <is>
          <t>Б5</t>
        </is>
      </c>
      <c r="B18" s="16" t="inlineStr">
        <is>
          <t>Оплата (предоплата)</t>
        </is>
      </c>
      <c r="C18" s="16" t="inlineStr">
        <is>
          <t>Внёс предоплату (цикл: медиана ~22 дня с касаниями, до 64 без)</t>
        </is>
      </c>
      <c r="D18" s="16" t="inlineStr">
        <is>
          <t>Оплата ₽ (ИП) / € (Черногория); ранняя цена до 30.09 — ускоритель</t>
        </is>
      </c>
      <c r="E18" s="16" t="inlineStr">
        <is>
          <t>Менеджер</t>
        </is>
      </c>
      <c r="F18" s="16" t="inlineStr">
        <is>
          <t>Продажи, CAC (цель ≤ 650 €, факт 2025 — 72 €)</t>
        </is>
      </c>
      <c r="G18" s="16" t="inlineStr">
        <is>
          <t>~95% договор</t>
        </is>
      </c>
      <c r="H18" s="16" t="inlineStr">
        <is>
          <t>~6–8</t>
        </is>
      </c>
      <c r="I18" s="16" t="inlineStr">
        <is>
          <t>~13–17</t>
        </is>
      </c>
      <c r="J18" s="16" t="inlineStr"/>
    </row>
    <row r="19">
      <c r="A19" s="15" t="inlineStr">
        <is>
          <t>Б6</t>
        </is>
      </c>
      <c r="B19" s="16" t="inlineStr">
        <is>
          <t>Договор</t>
        </is>
      </c>
      <c r="C19" s="16" t="inlineStr">
        <is>
          <t>Подписан договор</t>
        </is>
      </c>
      <c r="D19" s="16" t="inlineStr">
        <is>
          <t>Документы МИГ</t>
        </is>
      </c>
      <c r="E19" s="16" t="inlineStr">
        <is>
          <t>Администратор</t>
        </is>
      </c>
      <c r="F19" s="16" t="inlineStr">
        <is>
          <t>Доля подписанных</t>
        </is>
      </c>
      <c r="G19" s="16" t="inlineStr">
        <is>
          <t>~100%</t>
        </is>
      </c>
      <c r="H19" s="16" t="inlineStr">
        <is>
          <t>6–8</t>
        </is>
      </c>
      <c r="I19" s="16" t="inlineStr">
        <is>
          <t>13–17</t>
        </is>
      </c>
      <c r="J19" s="16" t="inlineStr"/>
    </row>
    <row r="20">
      <c r="A20" s="15" t="inlineStr">
        <is>
          <t>Б7</t>
        </is>
      </c>
      <c r="B20" s="16" t="inlineStr">
        <is>
          <t>Начало учёбы</t>
        </is>
      </c>
      <c r="C20" s="16" t="inlineStr">
        <is>
          <t>Вышел на первый модуль (октябрь)</t>
        </is>
      </c>
      <c r="D20" s="16" t="inlineStr">
        <is>
          <t>Онбординг: письмо + чат потока</t>
        </is>
      </c>
      <c r="E20" s="16" t="inlineStr">
        <is>
          <t>МИГ</t>
        </is>
      </c>
      <c r="F20" s="16" t="inlineStr">
        <is>
          <t>Доля вышедших; NPS первого модуля</t>
        </is>
      </c>
      <c r="G20" s="16" t="inlineStr">
        <is>
          <t>→ удержание</t>
        </is>
      </c>
      <c r="H20" s="16" t="inlineStr">
        <is>
          <t>6–8</t>
        </is>
      </c>
      <c r="I20" s="16" t="inlineStr">
        <is>
          <t>13–17</t>
        </is>
      </c>
      <c r="J20" s="16" t="inlineStr"/>
    </row>
    <row r="22">
      <c r="A22" s="9" t="inlineStr">
        <is>
          <t>В. ПОСЛЕ ПРОДАЖИ (LTV: удержание → апгрейд → рефералка)</t>
        </is>
      </c>
    </row>
    <row r="23">
      <c r="A23" s="14" t="inlineStr">
        <is>
          <t>№</t>
        </is>
      </c>
      <c r="B23" s="14" t="inlineStr">
        <is>
          <t>Этап</t>
        </is>
      </c>
      <c r="C23" s="14" t="inlineStr">
        <is>
          <t>Критерий перехода дальше</t>
        </is>
      </c>
      <c r="D23" s="14" t="inlineStr">
        <is>
          <t>Инструмент / канал</t>
        </is>
      </c>
      <c r="E23" s="14" t="inlineStr">
        <is>
          <t>Ответственный</t>
        </is>
      </c>
      <c r="F23" s="14" t="inlineStr">
        <is>
          <t>Метрика этапа</t>
        </is>
      </c>
      <c r="G23" s="14" t="inlineStr">
        <is>
          <t>План-конверсия</t>
        </is>
      </c>
      <c r="H23" s="14" t="inlineStr">
        <is>
          <t>Тест 1 000 €</t>
        </is>
      </c>
      <c r="I23" s="14" t="inlineStr">
        <is>
          <t>Полный 2 500 €</t>
        </is>
      </c>
      <c r="J23" s="14" t="inlineStr">
        <is>
          <t>Факт</t>
        </is>
      </c>
    </row>
    <row r="24">
      <c r="A24" s="15" t="inlineStr">
        <is>
          <t>В1</t>
        </is>
      </c>
      <c r="B24" s="16" t="inlineStr">
        <is>
          <t>Удержание</t>
        </is>
      </c>
      <c r="C24" s="16" t="inlineStr">
        <is>
          <t>Проходит модули, не отваливается</t>
        </is>
      </c>
      <c r="D24" s="16" t="inlineStr">
        <is>
          <t>Кураторы, супервизии, чат</t>
        </is>
      </c>
      <c r="E24" s="16" t="inlineStr">
        <is>
          <t>МИГ</t>
        </is>
      </c>
      <c r="F24" s="16" t="inlineStr">
        <is>
          <t>Посещаемость модулей</t>
        </is>
      </c>
      <c r="G24" s="16" t="inlineStr">
        <is>
          <t>—</t>
        </is>
      </c>
      <c r="H24" s="16" t="inlineStr"/>
      <c r="I24" s="16" t="inlineStr"/>
      <c r="J24" s="16" t="inlineStr"/>
    </row>
    <row r="25">
      <c r="A25" s="15" t="inlineStr">
        <is>
          <t>В2</t>
        </is>
      </c>
      <c r="B25" s="16" t="inlineStr">
        <is>
          <t>Апгрейд тарифа</t>
        </is>
      </c>
      <c r="C25" s="16" t="inlineStr">
        <is>
          <t>Повышение тарифа (возможно до 4-й встречи, 23.11)</t>
        </is>
      </c>
      <c r="D25" s="16" t="inlineStr">
        <is>
          <t>Предложение после 2–3 модуля</t>
        </is>
      </c>
      <c r="E25" s="16" t="inlineStr">
        <is>
          <t>Менеджер</t>
        </is>
      </c>
      <c r="F25" s="16" t="inlineStr">
        <is>
          <t>Доля апгрейдов, доп. выручка</t>
        </is>
      </c>
      <c r="G25" s="16" t="inlineStr">
        <is>
          <t>—</t>
        </is>
      </c>
      <c r="H25" s="16" t="inlineStr">
        <is>
          <t>1–2</t>
        </is>
      </c>
      <c r="I25" s="16" t="inlineStr">
        <is>
          <t>2–4</t>
        </is>
      </c>
      <c r="J25" s="16" t="inlineStr"/>
    </row>
    <row r="26">
      <c r="A26" s="15" t="inlineStr">
        <is>
          <t>В3</t>
        </is>
      </c>
      <c r="B26" s="16" t="inlineStr">
        <is>
          <t>Кросс-селл</t>
        </is>
      </c>
      <c r="C26" s="16" t="inlineStr">
        <is>
          <t>Конференция случаев (−50%), «Цифра», спецкурсы</t>
        </is>
      </c>
      <c r="D26" s="16" t="inlineStr">
        <is>
          <t>Email/чат потока</t>
        </is>
      </c>
      <c r="E26" s="16" t="inlineStr">
        <is>
          <t>Менеджер</t>
        </is>
      </c>
      <c r="F26" s="16" t="inlineStr">
        <is>
          <t>Доп. продажи на студента</t>
        </is>
      </c>
      <c r="G26" s="16" t="inlineStr">
        <is>
          <t>—</t>
        </is>
      </c>
      <c r="H26" s="16" t="inlineStr"/>
      <c r="I26" s="16" t="inlineStr"/>
      <c r="J26" s="16" t="inlineStr"/>
    </row>
    <row r="27">
      <c r="A27" s="15" t="inlineStr">
        <is>
          <t>В4</t>
        </is>
      </c>
      <c r="B27" s="16" t="inlineStr">
        <is>
          <t>Выпуск и кейс</t>
        </is>
      </c>
      <c r="C27" s="16" t="inlineStr">
        <is>
          <t>Закончил программу; согласие на историю</t>
        </is>
      </c>
      <c r="D27" s="16" t="inlineStr">
        <is>
          <t>Кейс-истории (только реальные, с согласия)</t>
        </is>
      </c>
      <c r="E27" s="16" t="inlineStr">
        <is>
          <t>Агентство + МИГ</t>
        </is>
      </c>
      <c r="F27" s="16" t="inlineStr">
        <is>
          <t>Собранные кейсы</t>
        </is>
      </c>
      <c r="G27" s="16" t="inlineStr">
        <is>
          <t>—</t>
        </is>
      </c>
      <c r="H27" s="16" t="inlineStr"/>
      <c r="I27" s="16" t="inlineStr"/>
      <c r="J27" s="16" t="inlineStr"/>
    </row>
    <row r="28">
      <c r="A28" s="15" t="inlineStr">
        <is>
          <t>В5</t>
        </is>
      </c>
      <c r="B28" s="16" t="inlineStr">
        <is>
          <t>Рекомендация</t>
        </is>
      </c>
      <c r="C28" s="16" t="inlineStr">
        <is>
          <t>Привёл коллегу (промокод)</t>
        </is>
      </c>
      <c r="D28" s="16" t="inlineStr">
        <is>
          <t>Реферальная программа (механика — в разработке)</t>
        </is>
      </c>
      <c r="E28" s="16" t="inlineStr">
        <is>
          <t>Агентство + МИГ</t>
        </is>
      </c>
      <c r="F28" s="16" t="inlineStr">
        <is>
          <t>Рефералы, CAC ~250 € фикс.</t>
        </is>
      </c>
      <c r="G28" s="16" t="inlineStr">
        <is>
          <t>—</t>
        </is>
      </c>
      <c r="H28" s="16" t="inlineStr"/>
      <c r="I28" s="16" t="inlineStr"/>
      <c r="J28" s="16" t="inlineStr"/>
    </row>
    <row r="30">
      <c r="A30" s="13" t="inlineStr">
        <is>
          <t>Сквозные правила: (1) каждый лид имеет источник (UTM) и статус в единой таблице — иначе воронка не считается;</t>
        </is>
      </c>
    </row>
    <row r="31">
      <c r="A31" s="13" t="inlineStr">
        <is>
          <t>(2) узкое место сейчас — этап Б2 (в 2026 отвечают ~10% при цели 50%): скорость касания и скрипты чинятся до масштабирования бюджета;</t>
        </is>
      </c>
    </row>
    <row r="32">
      <c r="A32" s="13" t="inlineStr">
        <is>
          <t>(3) еженедельно: факт-колонка заполняется, конверсии пересчитываются, деньги перекладываются в канал-лидер по CAC;</t>
        </is>
      </c>
    </row>
    <row r="33">
      <c r="A33" s="13" t="inlineStr">
        <is>
          <t>(4) числа «Тест/Полный» — план на основе факта 2025 и бенчмарков; это ориентиры, не обещания.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2" t="inlineStr">
        <is>
          <t>«Сложный случай» · тест: Meta ретаргетинг</t>
        </is>
      </c>
    </row>
    <row r="2">
      <c r="A2" s="18" t="inlineStr">
        <is>
          <t>Бюджет теста: 150 €  ·  окно: 01–30.09 (ранняя цена до 30.09)</t>
        </is>
      </c>
    </row>
    <row r="4">
      <c r="A4" s="17" t="inlineStr">
        <is>
          <t>Параметры</t>
        </is>
      </c>
    </row>
    <row r="5">
      <c r="A5" s="17" t="inlineStr">
        <is>
          <t>Аудитории</t>
        </is>
      </c>
      <c r="B5" s="19" t="inlineStr">
        <is>
          <t>Посетители mig.institute 90 дн (пиксель стоит) · вовлечённые IG/FB · база лидов 2025–2026 (custom audience по email/телефонам)</t>
        </is>
      </c>
    </row>
    <row r="6">
      <c r="A6" s="17" t="inlineStr">
        <is>
          <t>Гео</t>
        </is>
      </c>
      <c r="B6" s="19" t="inlineStr">
        <is>
          <t>Все страны кроме РФ (Meta в РФ не показывается)</t>
        </is>
      </c>
    </row>
    <row r="7">
      <c r="A7" s="17" t="inlineStr">
        <is>
          <t>Посадочная</t>
        </is>
      </c>
      <c r="B7" s="19" t="inlineStr">
        <is>
          <t>Лендинг «Сложный случай» (после публикации) / регистрация на демо-день</t>
        </is>
      </c>
    </row>
    <row r="8">
      <c r="A8" s="17" t="inlineStr">
        <is>
          <t>Оффер</t>
        </is>
      </c>
      <c r="B8" s="19" t="inlineStr">
        <is>
          <t>Демо-день + ранняя цена до 30.09</t>
        </is>
      </c>
    </row>
    <row r="9">
      <c r="A9" s="17" t="inlineStr">
        <is>
          <t>Креативы</t>
        </is>
      </c>
      <c r="B9" s="19" t="inlineStr">
        <is>
          <t>S1 «Обещание», S2 «Боль» из ТЗ v2</t>
        </is>
      </c>
    </row>
    <row r="11">
      <c r="A11" s="17" t="inlineStr">
        <is>
          <t>KPI и стоп-лосс</t>
        </is>
      </c>
    </row>
    <row r="12">
      <c r="A12" s="20" t="inlineStr">
        <is>
          <t>Цель CPL</t>
        </is>
      </c>
      <c r="B12" s="21" t="inlineStr">
        <is>
          <t>≤ 10 € (тёплая аудитория)</t>
        </is>
      </c>
    </row>
    <row r="13">
      <c r="A13" s="20" t="inlineStr">
        <is>
          <t>Цель квал-CPL</t>
        </is>
      </c>
      <c r="B13" s="21" t="inlineStr">
        <is>
          <t>≤ 20 €</t>
        </is>
      </c>
    </row>
    <row r="14">
      <c r="A14" s="20" t="inlineStr">
        <is>
          <t>Стоп-лосс</t>
        </is>
      </c>
      <c r="B14" s="21" t="inlineStr">
        <is>
          <t>150 € без квал-лида — стоп и разбор</t>
        </is>
      </c>
    </row>
    <row r="15">
      <c r="A15" s="20" t="inlineStr">
        <is>
          <t>Ожидание теста</t>
        </is>
      </c>
      <c r="B15" s="21" t="inlineStr">
        <is>
          <t>~15 лидов, 1–2 продажи</t>
        </is>
      </c>
    </row>
    <row r="17">
      <c r="A17" s="17" t="inlineStr">
        <is>
          <t>Недельный трекинг (заполнять факт; расчётные колонки считаются сами)</t>
        </is>
      </c>
    </row>
    <row r="18">
      <c r="A18" s="23" t="inlineStr">
        <is>
          <t>Неделя</t>
        </is>
      </c>
      <c r="B18" s="23" t="inlineStr">
        <is>
          <t>Расход €</t>
        </is>
      </c>
      <c r="C18" s="23" t="inlineStr">
        <is>
          <t>Показы</t>
        </is>
      </c>
      <c r="D18" s="23" t="inlineStr">
        <is>
          <t>Клики</t>
        </is>
      </c>
      <c r="E18" s="23" t="inlineStr">
        <is>
          <t>CPC €</t>
        </is>
      </c>
      <c r="F18" s="23" t="inlineStr">
        <is>
          <t>CTR %</t>
        </is>
      </c>
      <c r="G18" s="23" t="inlineStr">
        <is>
          <t>Лиды</t>
        </is>
      </c>
      <c r="H18" s="23" t="inlineStr">
        <is>
          <t>CPL €</t>
        </is>
      </c>
      <c r="I18" s="23" t="inlineStr">
        <is>
          <t>Квал лиды</t>
        </is>
      </c>
      <c r="J18" s="23" t="inlineStr">
        <is>
          <t>Цена квал-лида €</t>
        </is>
      </c>
      <c r="K18" s="23" t="inlineStr">
        <is>
          <t>Продажи</t>
        </is>
      </c>
      <c r="L18" s="23" t="inlineStr">
        <is>
          <t>CAC €</t>
        </is>
      </c>
    </row>
    <row r="19">
      <c r="A19" s="24" t="inlineStr">
        <is>
          <t>01.09–07.09</t>
        </is>
      </c>
      <c r="B19" s="24" t="n"/>
      <c r="C19" s="24" t="n"/>
      <c r="D19" s="24" t="n"/>
      <c r="E19" s="24">
        <f>IFERROR(B19/D19,"")</f>
        <v/>
      </c>
      <c r="F19" s="24">
        <f>IFERROR(D19/C19*100,"")</f>
        <v/>
      </c>
      <c r="G19" s="24" t="n"/>
      <c r="H19" s="24">
        <f>IFERROR(B19/G19,"")</f>
        <v/>
      </c>
      <c r="I19" s="24" t="n"/>
      <c r="J19" s="24">
        <f>IFERROR(B19/I19,"")</f>
        <v/>
      </c>
      <c r="K19" s="24" t="n"/>
      <c r="L19" s="24">
        <f>IFERROR(B19/K19,"")</f>
        <v/>
      </c>
    </row>
    <row r="20">
      <c r="A20" s="24" t="inlineStr">
        <is>
          <t>08.09–14.09</t>
        </is>
      </c>
      <c r="B20" s="24" t="n"/>
      <c r="C20" s="24" t="n"/>
      <c r="D20" s="24" t="n"/>
      <c r="E20" s="24">
        <f>IFERROR(B20/D20,"")</f>
        <v/>
      </c>
      <c r="F20" s="24">
        <f>IFERROR(D20/C20*100,"")</f>
        <v/>
      </c>
      <c r="G20" s="24" t="n"/>
      <c r="H20" s="24">
        <f>IFERROR(B20/G20,"")</f>
        <v/>
      </c>
      <c r="I20" s="24" t="n"/>
      <c r="J20" s="24">
        <f>IFERROR(B20/I20,"")</f>
        <v/>
      </c>
      <c r="K20" s="24" t="n"/>
      <c r="L20" s="24">
        <f>IFERROR(B20/K20,"")</f>
        <v/>
      </c>
    </row>
    <row r="21">
      <c r="A21" s="24" t="inlineStr">
        <is>
          <t>15.09–21.09</t>
        </is>
      </c>
      <c r="B21" s="24" t="n"/>
      <c r="C21" s="24" t="n"/>
      <c r="D21" s="24" t="n"/>
      <c r="E21" s="24">
        <f>IFERROR(B21/D21,"")</f>
        <v/>
      </c>
      <c r="F21" s="24">
        <f>IFERROR(D21/C21*100,"")</f>
        <v/>
      </c>
      <c r="G21" s="24" t="n"/>
      <c r="H21" s="24">
        <f>IFERROR(B21/G21,"")</f>
        <v/>
      </c>
      <c r="I21" s="24" t="n"/>
      <c r="J21" s="24">
        <f>IFERROR(B21/I21,"")</f>
        <v/>
      </c>
      <c r="K21" s="24" t="n"/>
      <c r="L21" s="24">
        <f>IFERROR(B21/K21,"")</f>
        <v/>
      </c>
    </row>
    <row r="22">
      <c r="A22" s="24" t="inlineStr">
        <is>
          <t>22.09–30.09</t>
        </is>
      </c>
      <c r="B22" s="24" t="n"/>
      <c r="C22" s="24" t="n"/>
      <c r="D22" s="24" t="n"/>
      <c r="E22" s="24">
        <f>IFERROR(B22/D22,"")</f>
        <v/>
      </c>
      <c r="F22" s="24">
        <f>IFERROR(D22/C22*100,"")</f>
        <v/>
      </c>
      <c r="G22" s="24" t="n"/>
      <c r="H22" s="24">
        <f>IFERROR(B22/G22,"")</f>
        <v/>
      </c>
      <c r="I22" s="24" t="n"/>
      <c r="J22" s="24">
        <f>IFERROR(B22/I22,"")</f>
        <v/>
      </c>
      <c r="K22" s="24" t="n"/>
      <c r="L22" s="24">
        <f>IFERROR(B22/K22,"")</f>
        <v/>
      </c>
    </row>
    <row r="23">
      <c r="A23" s="25" t="inlineStr">
        <is>
          <t>ИТОГО</t>
        </is>
      </c>
      <c r="B23" s="25">
        <f>SUM(B19:B22)</f>
        <v/>
      </c>
      <c r="C23" s="25">
        <f>SUM(C19:C22)</f>
        <v/>
      </c>
      <c r="D23" s="25">
        <f>SUM(D19:D22)</f>
        <v/>
      </c>
      <c r="E23" s="25">
        <f>IFERROR(B23/D23,"")</f>
        <v/>
      </c>
      <c r="F23" s="25">
        <f>IFERROR(D23/C23*100,"")</f>
        <v/>
      </c>
      <c r="G23" s="25">
        <f>SUM(G19:G22)</f>
        <v/>
      </c>
      <c r="H23" s="25">
        <f>IFERROR(B23/G23,"")</f>
        <v/>
      </c>
      <c r="I23" s="25">
        <f>SUM(I19:I22)</f>
        <v/>
      </c>
      <c r="J23" s="25">
        <f>IFERROR(B23/I23,"")</f>
        <v/>
      </c>
      <c r="K23" s="25">
        <f>SUM(K19:K22)</f>
        <v/>
      </c>
      <c r="L23" s="25">
        <f>IFERROR(B23/K23,"")</f>
        <v/>
      </c>
    </row>
  </sheetData>
  <mergeCells count="9">
    <mergeCell ref="B8:H8"/>
    <mergeCell ref="B14:H14"/>
    <mergeCell ref="B9:H9"/>
    <mergeCell ref="B13:H13"/>
    <mergeCell ref="B12:H12"/>
    <mergeCell ref="B6:H6"/>
    <mergeCell ref="B15:H15"/>
    <mergeCell ref="B7:H7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2" t="inlineStr">
        <is>
          <t>«Сложный случай» · тест: Meta холодный</t>
        </is>
      </c>
    </row>
    <row r="2">
      <c r="A2" s="18" t="inlineStr">
        <is>
          <t>Бюджет теста: 250 €  ·  окно: 01–30.09 (ранняя цена до 30.09)</t>
        </is>
      </c>
    </row>
    <row r="4">
      <c r="A4" s="17" t="inlineStr">
        <is>
          <t>Параметры</t>
        </is>
      </c>
    </row>
    <row r="5">
      <c r="A5" s="17" t="inlineStr">
        <is>
          <t>Аудитории</t>
        </is>
      </c>
      <c r="B5" s="19" t="inlineStr">
        <is>
          <t>Интересы: Psychology, Psychotherapy, Gestalt therapy · язык русский · 27–55</t>
        </is>
      </c>
    </row>
    <row r="6">
      <c r="A6" s="17" t="inlineStr">
        <is>
          <t>Гео</t>
        </is>
      </c>
      <c r="B6" s="19" t="inlineStr">
        <is>
          <t>Группа 1: Германия+Израиль · Группа 2: Сербия/Черногория/Хорватия</t>
        </is>
      </c>
    </row>
    <row r="7">
      <c r="A7" s="17" t="inlineStr">
        <is>
          <t>Посадочная</t>
        </is>
      </c>
      <c r="B7" s="19" t="inlineStr">
        <is>
          <t>Лендинг «Сложный случай» / демо-день; параллельно лидформа с квал-вопросами (тест качества)</t>
        </is>
      </c>
    </row>
    <row r="8">
      <c r="A8" s="17" t="inlineStr">
        <is>
          <t>Оффер</t>
        </is>
      </c>
      <c r="B8" s="19" t="inlineStr">
        <is>
          <t>Демо-день + ранняя цена до 30.09</t>
        </is>
      </c>
    </row>
    <row r="9">
      <c r="A9" s="17" t="inlineStr">
        <is>
          <t>Креативы</t>
        </is>
      </c>
      <c r="B9" s="19" t="inlineStr">
        <is>
          <t>S1–S4 из ТЗ v2; скрининг по CTR (мин. 500 показов на вариант до выводов)</t>
        </is>
      </c>
    </row>
    <row r="11">
      <c r="A11" s="17" t="inlineStr">
        <is>
          <t>KPI и стоп-лосс</t>
        </is>
      </c>
    </row>
    <row r="12">
      <c r="A12" s="20" t="inlineStr">
        <is>
          <t>Цель CPL</t>
        </is>
      </c>
      <c r="B12" s="21" t="inlineStr">
        <is>
          <t>≤ 25 €</t>
        </is>
      </c>
    </row>
    <row r="13">
      <c r="A13" s="20" t="inlineStr">
        <is>
          <t>Цель квал-CPL</t>
        </is>
      </c>
      <c r="B13" s="21" t="inlineStr">
        <is>
          <t>≤ 45 €</t>
        </is>
      </c>
    </row>
    <row r="14">
      <c r="A14" s="20" t="inlineStr">
        <is>
          <t>Стоп-лосс</t>
        </is>
      </c>
      <c r="B14" s="21" t="inlineStr">
        <is>
          <t>Объявление: CPL&gt;40 € при 500+ показов — выкл. Канал: 250 € без квал-лида — стоп</t>
        </is>
      </c>
    </row>
    <row r="15">
      <c r="A15" s="20" t="inlineStr">
        <is>
          <t>Ожидание теста</t>
        </is>
      </c>
      <c r="B15" s="21" t="inlineStr">
        <is>
          <t>~10 лидов, ~1 продажа</t>
        </is>
      </c>
    </row>
    <row r="17">
      <c r="A17" s="17" t="inlineStr">
        <is>
          <t>Недельный трекинг (заполнять факт; расчётные колонки считаются сами)</t>
        </is>
      </c>
    </row>
    <row r="18">
      <c r="A18" s="23" t="inlineStr">
        <is>
          <t>Неделя</t>
        </is>
      </c>
      <c r="B18" s="23" t="inlineStr">
        <is>
          <t>Расход €</t>
        </is>
      </c>
      <c r="C18" s="23" t="inlineStr">
        <is>
          <t>Показы</t>
        </is>
      </c>
      <c r="D18" s="23" t="inlineStr">
        <is>
          <t>Клики</t>
        </is>
      </c>
      <c r="E18" s="23" t="inlineStr">
        <is>
          <t>CPC €</t>
        </is>
      </c>
      <c r="F18" s="23" t="inlineStr">
        <is>
          <t>CTR %</t>
        </is>
      </c>
      <c r="G18" s="23" t="inlineStr">
        <is>
          <t>Лиды</t>
        </is>
      </c>
      <c r="H18" s="23" t="inlineStr">
        <is>
          <t>CPL €</t>
        </is>
      </c>
      <c r="I18" s="23" t="inlineStr">
        <is>
          <t>Квал лиды</t>
        </is>
      </c>
      <c r="J18" s="23" t="inlineStr">
        <is>
          <t>Цена квал-лида €</t>
        </is>
      </c>
      <c r="K18" s="23" t="inlineStr">
        <is>
          <t>Продажи</t>
        </is>
      </c>
      <c r="L18" s="23" t="inlineStr">
        <is>
          <t>CAC €</t>
        </is>
      </c>
    </row>
    <row r="19">
      <c r="A19" s="24" t="inlineStr">
        <is>
          <t>01.09–07.09</t>
        </is>
      </c>
      <c r="B19" s="24" t="n"/>
      <c r="C19" s="24" t="n"/>
      <c r="D19" s="24" t="n"/>
      <c r="E19" s="24">
        <f>IFERROR(B19/D19,"")</f>
        <v/>
      </c>
      <c r="F19" s="24">
        <f>IFERROR(D19/C19*100,"")</f>
        <v/>
      </c>
      <c r="G19" s="24" t="n"/>
      <c r="H19" s="24">
        <f>IFERROR(B19/G19,"")</f>
        <v/>
      </c>
      <c r="I19" s="24" t="n"/>
      <c r="J19" s="24">
        <f>IFERROR(B19/I19,"")</f>
        <v/>
      </c>
      <c r="K19" s="24" t="n"/>
      <c r="L19" s="24">
        <f>IFERROR(B19/K19,"")</f>
        <v/>
      </c>
    </row>
    <row r="20">
      <c r="A20" s="24" t="inlineStr">
        <is>
          <t>08.09–14.09</t>
        </is>
      </c>
      <c r="B20" s="24" t="n"/>
      <c r="C20" s="24" t="n"/>
      <c r="D20" s="24" t="n"/>
      <c r="E20" s="24">
        <f>IFERROR(B20/D20,"")</f>
        <v/>
      </c>
      <c r="F20" s="24">
        <f>IFERROR(D20/C20*100,"")</f>
        <v/>
      </c>
      <c r="G20" s="24" t="n"/>
      <c r="H20" s="24">
        <f>IFERROR(B20/G20,"")</f>
        <v/>
      </c>
      <c r="I20" s="24" t="n"/>
      <c r="J20" s="24">
        <f>IFERROR(B20/I20,"")</f>
        <v/>
      </c>
      <c r="K20" s="24" t="n"/>
      <c r="L20" s="24">
        <f>IFERROR(B20/K20,"")</f>
        <v/>
      </c>
    </row>
    <row r="21">
      <c r="A21" s="24" t="inlineStr">
        <is>
          <t>15.09–21.09</t>
        </is>
      </c>
      <c r="B21" s="24" t="n"/>
      <c r="C21" s="24" t="n"/>
      <c r="D21" s="24" t="n"/>
      <c r="E21" s="24">
        <f>IFERROR(B21/D21,"")</f>
        <v/>
      </c>
      <c r="F21" s="24">
        <f>IFERROR(D21/C21*100,"")</f>
        <v/>
      </c>
      <c r="G21" s="24" t="n"/>
      <c r="H21" s="24">
        <f>IFERROR(B21/G21,"")</f>
        <v/>
      </c>
      <c r="I21" s="24" t="n"/>
      <c r="J21" s="24">
        <f>IFERROR(B21/I21,"")</f>
        <v/>
      </c>
      <c r="K21" s="24" t="n"/>
      <c r="L21" s="24">
        <f>IFERROR(B21/K21,"")</f>
        <v/>
      </c>
    </row>
    <row r="22">
      <c r="A22" s="24" t="inlineStr">
        <is>
          <t>22.09–30.09</t>
        </is>
      </c>
      <c r="B22" s="24" t="n"/>
      <c r="C22" s="24" t="n"/>
      <c r="D22" s="24" t="n"/>
      <c r="E22" s="24">
        <f>IFERROR(B22/D22,"")</f>
        <v/>
      </c>
      <c r="F22" s="24">
        <f>IFERROR(D22/C22*100,"")</f>
        <v/>
      </c>
      <c r="G22" s="24" t="n"/>
      <c r="H22" s="24">
        <f>IFERROR(B22/G22,"")</f>
        <v/>
      </c>
      <c r="I22" s="24" t="n"/>
      <c r="J22" s="24">
        <f>IFERROR(B22/I22,"")</f>
        <v/>
      </c>
      <c r="K22" s="24" t="n"/>
      <c r="L22" s="24">
        <f>IFERROR(B22/K22,"")</f>
        <v/>
      </c>
    </row>
    <row r="23">
      <c r="A23" s="25" t="inlineStr">
        <is>
          <t>ИТОГО</t>
        </is>
      </c>
      <c r="B23" s="25">
        <f>SUM(B19:B22)</f>
        <v/>
      </c>
      <c r="C23" s="25">
        <f>SUM(C19:C22)</f>
        <v/>
      </c>
      <c r="D23" s="25">
        <f>SUM(D19:D22)</f>
        <v/>
      </c>
      <c r="E23" s="25">
        <f>IFERROR(B23/D23,"")</f>
        <v/>
      </c>
      <c r="F23" s="25">
        <f>IFERROR(D23/C23*100,"")</f>
        <v/>
      </c>
      <c r="G23" s="25">
        <f>SUM(G19:G22)</f>
        <v/>
      </c>
      <c r="H23" s="25">
        <f>IFERROR(B23/G23,"")</f>
        <v/>
      </c>
      <c r="I23" s="25">
        <f>SUM(I19:I22)</f>
        <v/>
      </c>
      <c r="J23" s="25">
        <f>IFERROR(B23/I23,"")</f>
        <v/>
      </c>
      <c r="K23" s="25">
        <f>SUM(K19:K22)</f>
        <v/>
      </c>
      <c r="L23" s="25">
        <f>IFERROR(B23/K23,"")</f>
        <v/>
      </c>
    </row>
  </sheetData>
  <mergeCells count="9">
    <mergeCell ref="B8:H8"/>
    <mergeCell ref="B14:H14"/>
    <mergeCell ref="B9:H9"/>
    <mergeCell ref="B13:H13"/>
    <mergeCell ref="B12:H12"/>
    <mergeCell ref="B6:H6"/>
    <mergeCell ref="B15:H15"/>
    <mergeCell ref="B7:H7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2" t="inlineStr">
        <is>
          <t>«Сложный случай» · тест: VK Реклама</t>
        </is>
      </c>
    </row>
    <row r="2">
      <c r="A2" s="18" t="inlineStr">
        <is>
          <t>Бюджет теста: 200 €  ·  окно: 01–30.09 (ранняя цена до 30.09)</t>
        </is>
      </c>
    </row>
    <row r="4">
      <c r="A4" s="17" t="inlineStr">
        <is>
          <t>Параметры</t>
        </is>
      </c>
    </row>
    <row r="5">
      <c r="A5" s="17" t="inlineStr">
        <is>
          <t>Аудитории</t>
        </is>
      </c>
      <c r="B5" s="19" t="inlineStr">
        <is>
          <t>Слой 1 (тёплый): подписчики сообщества VK МИГ · Слой 2: интересы психология + активные в сообществах конкурентов (МИГиП, МГИ)</t>
        </is>
      </c>
    </row>
    <row r="6">
      <c r="A6" s="17" t="inlineStr">
        <is>
          <t>Гео</t>
        </is>
      </c>
      <c r="B6" s="19" t="inlineStr">
        <is>
          <t>РФ (кабинет на ИП, оплата в ₽)</t>
        </is>
      </c>
    </row>
    <row r="7">
      <c r="A7" s="17" t="inlineStr">
        <is>
          <t>Посадочная</t>
        </is>
      </c>
      <c r="B7" s="19" t="inlineStr">
        <is>
          <t>Лендинг / лид-форма VK с квал-вопросами (A/B)</t>
        </is>
      </c>
    </row>
    <row r="8">
      <c r="A8" s="17" t="inlineStr">
        <is>
          <t>Оффер</t>
        </is>
      </c>
      <c r="B8" s="19" t="inlineStr">
        <is>
          <t>Демо-день + ранняя цена до 30.09; цены в рублях</t>
        </is>
      </c>
    </row>
    <row r="9">
      <c r="A9" s="17" t="inlineStr">
        <is>
          <t>Маркировка</t>
        </is>
      </c>
      <c r="B9" s="19" t="inlineStr">
        <is>
          <t>Автоматическая (erid), данные рекламодателя — ИП</t>
        </is>
      </c>
    </row>
    <row r="11">
      <c r="A11" s="17" t="inlineStr">
        <is>
          <t>KPI и стоп-лосс</t>
        </is>
      </c>
    </row>
    <row r="12">
      <c r="A12" s="20" t="inlineStr">
        <is>
          <t>Цель CPL</t>
        </is>
      </c>
      <c r="B12" s="21" t="inlineStr">
        <is>
          <t>≤ 8 € (≈800 ₽)</t>
        </is>
      </c>
    </row>
    <row r="13">
      <c r="A13" s="20" t="inlineStr">
        <is>
          <t>Цель квал-CPL</t>
        </is>
      </c>
      <c r="B13" s="21" t="inlineStr">
        <is>
          <t>≤ 18 €</t>
        </is>
      </c>
    </row>
    <row r="14">
      <c r="A14" s="20" t="inlineStr">
        <is>
          <t>Стоп-лосс</t>
        </is>
      </c>
      <c r="B14" s="21" t="inlineStr">
        <is>
          <t>120 € без квал-лида — пауза, смена слоя аудитории</t>
        </is>
      </c>
    </row>
    <row r="15">
      <c r="A15" s="20" t="inlineStr">
        <is>
          <t>Ожидание теста</t>
        </is>
      </c>
      <c r="B15" s="21" t="inlineStr">
        <is>
          <t>~25 лидов, 1–2 продажи</t>
        </is>
      </c>
    </row>
    <row r="17">
      <c r="A17" s="17" t="inlineStr">
        <is>
          <t>Недельный трекинг (заполнять факт; расчётные колонки считаются сами)</t>
        </is>
      </c>
    </row>
    <row r="18">
      <c r="A18" s="23" t="inlineStr">
        <is>
          <t>Неделя</t>
        </is>
      </c>
      <c r="B18" s="23" t="inlineStr">
        <is>
          <t>Расход €</t>
        </is>
      </c>
      <c r="C18" s="23" t="inlineStr">
        <is>
          <t>Показы</t>
        </is>
      </c>
      <c r="D18" s="23" t="inlineStr">
        <is>
          <t>Клики</t>
        </is>
      </c>
      <c r="E18" s="23" t="inlineStr">
        <is>
          <t>CPC €</t>
        </is>
      </c>
      <c r="F18" s="23" t="inlineStr">
        <is>
          <t>CTR %</t>
        </is>
      </c>
      <c r="G18" s="23" t="inlineStr">
        <is>
          <t>Лиды</t>
        </is>
      </c>
      <c r="H18" s="23" t="inlineStr">
        <is>
          <t>CPL €</t>
        </is>
      </c>
      <c r="I18" s="23" t="inlineStr">
        <is>
          <t>Квал лиды</t>
        </is>
      </c>
      <c r="J18" s="23" t="inlineStr">
        <is>
          <t>Цена квал-лида €</t>
        </is>
      </c>
      <c r="K18" s="23" t="inlineStr">
        <is>
          <t>Продажи</t>
        </is>
      </c>
      <c r="L18" s="23" t="inlineStr">
        <is>
          <t>CAC €</t>
        </is>
      </c>
    </row>
    <row r="19">
      <c r="A19" s="24" t="inlineStr">
        <is>
          <t>01.09–07.09</t>
        </is>
      </c>
      <c r="B19" s="24" t="n"/>
      <c r="C19" s="24" t="n"/>
      <c r="D19" s="24" t="n"/>
      <c r="E19" s="24">
        <f>IFERROR(B19/D19,"")</f>
        <v/>
      </c>
      <c r="F19" s="24">
        <f>IFERROR(D19/C19*100,"")</f>
        <v/>
      </c>
      <c r="G19" s="24" t="n"/>
      <c r="H19" s="24">
        <f>IFERROR(B19/G19,"")</f>
        <v/>
      </c>
      <c r="I19" s="24" t="n"/>
      <c r="J19" s="24">
        <f>IFERROR(B19/I19,"")</f>
        <v/>
      </c>
      <c r="K19" s="24" t="n"/>
      <c r="L19" s="24">
        <f>IFERROR(B19/K19,"")</f>
        <v/>
      </c>
    </row>
    <row r="20">
      <c r="A20" s="24" t="inlineStr">
        <is>
          <t>08.09–14.09</t>
        </is>
      </c>
      <c r="B20" s="24" t="n"/>
      <c r="C20" s="24" t="n"/>
      <c r="D20" s="24" t="n"/>
      <c r="E20" s="24">
        <f>IFERROR(B20/D20,"")</f>
        <v/>
      </c>
      <c r="F20" s="24">
        <f>IFERROR(D20/C20*100,"")</f>
        <v/>
      </c>
      <c r="G20" s="24" t="n"/>
      <c r="H20" s="24">
        <f>IFERROR(B20/G20,"")</f>
        <v/>
      </c>
      <c r="I20" s="24" t="n"/>
      <c r="J20" s="24">
        <f>IFERROR(B20/I20,"")</f>
        <v/>
      </c>
      <c r="K20" s="24" t="n"/>
      <c r="L20" s="24">
        <f>IFERROR(B20/K20,"")</f>
        <v/>
      </c>
    </row>
    <row r="21">
      <c r="A21" s="24" t="inlineStr">
        <is>
          <t>15.09–21.09</t>
        </is>
      </c>
      <c r="B21" s="24" t="n"/>
      <c r="C21" s="24" t="n"/>
      <c r="D21" s="24" t="n"/>
      <c r="E21" s="24">
        <f>IFERROR(B21/D21,"")</f>
        <v/>
      </c>
      <c r="F21" s="24">
        <f>IFERROR(D21/C21*100,"")</f>
        <v/>
      </c>
      <c r="G21" s="24" t="n"/>
      <c r="H21" s="24">
        <f>IFERROR(B21/G21,"")</f>
        <v/>
      </c>
      <c r="I21" s="24" t="n"/>
      <c r="J21" s="24">
        <f>IFERROR(B21/I21,"")</f>
        <v/>
      </c>
      <c r="K21" s="24" t="n"/>
      <c r="L21" s="24">
        <f>IFERROR(B21/K21,"")</f>
        <v/>
      </c>
    </row>
    <row r="22">
      <c r="A22" s="24" t="inlineStr">
        <is>
          <t>22.09–30.09</t>
        </is>
      </c>
      <c r="B22" s="24" t="n"/>
      <c r="C22" s="24" t="n"/>
      <c r="D22" s="24" t="n"/>
      <c r="E22" s="24">
        <f>IFERROR(B22/D22,"")</f>
        <v/>
      </c>
      <c r="F22" s="24">
        <f>IFERROR(D22/C22*100,"")</f>
        <v/>
      </c>
      <c r="G22" s="24" t="n"/>
      <c r="H22" s="24">
        <f>IFERROR(B22/G22,"")</f>
        <v/>
      </c>
      <c r="I22" s="24" t="n"/>
      <c r="J22" s="24">
        <f>IFERROR(B22/I22,"")</f>
        <v/>
      </c>
      <c r="K22" s="24" t="n"/>
      <c r="L22" s="24">
        <f>IFERROR(B22/K22,"")</f>
        <v/>
      </c>
    </row>
    <row r="23">
      <c r="A23" s="25" t="inlineStr">
        <is>
          <t>ИТОГО</t>
        </is>
      </c>
      <c r="B23" s="25">
        <f>SUM(B19:B22)</f>
        <v/>
      </c>
      <c r="C23" s="25">
        <f>SUM(C19:C22)</f>
        <v/>
      </c>
      <c r="D23" s="25">
        <f>SUM(D19:D22)</f>
        <v/>
      </c>
      <c r="E23" s="25">
        <f>IFERROR(B23/D23,"")</f>
        <v/>
      </c>
      <c r="F23" s="25">
        <f>IFERROR(D23/C23*100,"")</f>
        <v/>
      </c>
      <c r="G23" s="25">
        <f>SUM(G19:G22)</f>
        <v/>
      </c>
      <c r="H23" s="25">
        <f>IFERROR(B23/G23,"")</f>
        <v/>
      </c>
      <c r="I23" s="25">
        <f>SUM(I19:I22)</f>
        <v/>
      </c>
      <c r="J23" s="25">
        <f>IFERROR(B23/I23,"")</f>
        <v/>
      </c>
      <c r="K23" s="25">
        <f>SUM(K19:K22)</f>
        <v/>
      </c>
      <c r="L23" s="25">
        <f>IFERROR(B23/K23,"")</f>
        <v/>
      </c>
    </row>
  </sheetData>
  <mergeCells count="9">
    <mergeCell ref="B8:H8"/>
    <mergeCell ref="B14:H14"/>
    <mergeCell ref="B9:H9"/>
    <mergeCell ref="B13:H13"/>
    <mergeCell ref="B12:H12"/>
    <mergeCell ref="B6:H6"/>
    <mergeCell ref="B15:H15"/>
    <mergeCell ref="B7:H7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2" t="inlineStr">
        <is>
          <t>«Сложный случай» · тест: посевы в Telegram-каналах</t>
        </is>
      </c>
    </row>
    <row r="2">
      <c r="A2" s="18" t="inlineStr">
        <is>
          <t>Бюджет теста: 300 €  ·  4–6 каналов  ·  окно: 01–30.09</t>
        </is>
      </c>
    </row>
    <row r="4">
      <c r="A4" s="17" t="inlineStr">
        <is>
          <t>Отбор каналов</t>
        </is>
      </c>
      <c r="B4" s="19" t="inlineStr">
        <is>
          <t>Психологические профессиональные каналы; проверка через TGStat: динамика подписчиков, ER, просмотры/пост (протокол R06). Покупка только после проверки</t>
        </is>
      </c>
    </row>
    <row r="5">
      <c r="A5" s="17" t="inlineStr">
        <is>
          <t>Формат</t>
        </is>
      </c>
      <c r="B5" s="19" t="inlineStr">
        <is>
          <t>Нативный пост-разбор («как психологу работать со сложным случаем») + анонс демо-дня; согласование текста с автором канала</t>
        </is>
      </c>
    </row>
    <row r="6">
      <c r="A6" s="17" t="inlineStr">
        <is>
          <t>Маркировка</t>
        </is>
      </c>
      <c r="B6" s="19" t="inlineStr">
        <is>
          <t>РФ-аудитория: erid через ОРД от ИП — обязательно в каждом посте</t>
        </is>
      </c>
    </row>
    <row r="7">
      <c r="A7" s="17" t="inlineStr">
        <is>
          <t>KPI</t>
        </is>
      </c>
      <c r="B7" s="19" t="inlineStr">
        <is>
          <t>Цена перехода ≤ 1,5 € · CPL ≤ 15 € · стоп-лосс: после первых 2 каналов сверка, дальше только аналоги лучших</t>
        </is>
      </c>
    </row>
    <row r="9">
      <c r="A9" s="14" t="inlineStr">
        <is>
          <t>Канал</t>
        </is>
      </c>
      <c r="B9" s="14" t="inlineStr">
        <is>
          <t>Дата поста</t>
        </is>
      </c>
      <c r="C9" s="14" t="inlineStr">
        <is>
          <t>Цена €</t>
        </is>
      </c>
      <c r="D9" s="14" t="inlineStr">
        <is>
          <t>Подписчиков</t>
        </is>
      </c>
      <c r="E9" s="14" t="inlineStr">
        <is>
          <t>Охват поста</t>
        </is>
      </c>
      <c r="F9" s="14" t="inlineStr">
        <is>
          <t>Переходы</t>
        </is>
      </c>
      <c r="G9" s="14" t="inlineStr">
        <is>
          <t>Цена перехода €</t>
        </is>
      </c>
      <c r="H9" s="14" t="inlineStr">
        <is>
          <t>Лиды</t>
        </is>
      </c>
      <c r="I9" s="14" t="inlineStr">
        <is>
          <t>CPL €</t>
        </is>
      </c>
      <c r="J9" s="14" t="inlineStr">
        <is>
          <t>Продажи</t>
        </is>
      </c>
    </row>
    <row r="10">
      <c r="A10" s="26" t="n"/>
      <c r="B10" s="26" t="n"/>
      <c r="C10" s="26" t="n"/>
      <c r="D10" s="26" t="n"/>
      <c r="E10" s="26" t="n"/>
      <c r="F10" s="26" t="n"/>
      <c r="G10" s="24">
        <f>IFERROR(C10/F10,"")</f>
        <v/>
      </c>
      <c r="H10" s="26" t="n"/>
      <c r="I10" s="24">
        <f>IFERROR(C10/H10,"")</f>
        <v/>
      </c>
      <c r="J10" s="26" t="n"/>
    </row>
    <row r="11">
      <c r="A11" s="26" t="n"/>
      <c r="B11" s="26" t="n"/>
      <c r="C11" s="26" t="n"/>
      <c r="D11" s="26" t="n"/>
      <c r="E11" s="26" t="n"/>
      <c r="F11" s="26" t="n"/>
      <c r="G11" s="24">
        <f>IFERROR(C11/F11,"")</f>
        <v/>
      </c>
      <c r="H11" s="26" t="n"/>
      <c r="I11" s="24">
        <f>IFERROR(C11/H11,"")</f>
        <v/>
      </c>
      <c r="J11" s="26" t="n"/>
    </row>
    <row r="12">
      <c r="A12" s="26" t="n"/>
      <c r="B12" s="26" t="n"/>
      <c r="C12" s="26" t="n"/>
      <c r="D12" s="26" t="n"/>
      <c r="E12" s="26" t="n"/>
      <c r="F12" s="26" t="n"/>
      <c r="G12" s="24">
        <f>IFERROR(C12/F12,"")</f>
        <v/>
      </c>
      <c r="H12" s="26" t="n"/>
      <c r="I12" s="24">
        <f>IFERROR(C12/H12,"")</f>
        <v/>
      </c>
      <c r="J12" s="26" t="n"/>
    </row>
    <row r="13">
      <c r="A13" s="26" t="n"/>
      <c r="B13" s="26" t="n"/>
      <c r="C13" s="26" t="n"/>
      <c r="D13" s="26" t="n"/>
      <c r="E13" s="26" t="n"/>
      <c r="F13" s="26" t="n"/>
      <c r="G13" s="24">
        <f>IFERROR(C13/F13,"")</f>
        <v/>
      </c>
      <c r="H13" s="26" t="n"/>
      <c r="I13" s="24">
        <f>IFERROR(C13/H13,"")</f>
        <v/>
      </c>
      <c r="J13" s="26" t="n"/>
    </row>
    <row r="14">
      <c r="A14" s="26" t="n"/>
      <c r="B14" s="26" t="n"/>
      <c r="C14" s="26" t="n"/>
      <c r="D14" s="26" t="n"/>
      <c r="E14" s="26" t="n"/>
      <c r="F14" s="26" t="n"/>
      <c r="G14" s="24">
        <f>IFERROR(C14/F14,"")</f>
        <v/>
      </c>
      <c r="H14" s="26" t="n"/>
      <c r="I14" s="24">
        <f>IFERROR(C14/H14,"")</f>
        <v/>
      </c>
      <c r="J14" s="26" t="n"/>
    </row>
    <row r="15">
      <c r="A15" s="26" t="n"/>
      <c r="B15" s="26" t="n"/>
      <c r="C15" s="26" t="n"/>
      <c r="D15" s="26" t="n"/>
      <c r="E15" s="26" t="n"/>
      <c r="F15" s="26" t="n"/>
      <c r="G15" s="24">
        <f>IFERROR(C15/F15,"")</f>
        <v/>
      </c>
      <c r="H15" s="26" t="n"/>
      <c r="I15" s="24">
        <f>IFERROR(C15/H15,"")</f>
        <v/>
      </c>
      <c r="J15" s="26" t="n"/>
    </row>
    <row r="16">
      <c r="A16" s="17" t="inlineStr">
        <is>
          <t>ИТОГО</t>
        </is>
      </c>
      <c r="C16" s="17">
        <f>SUM(C10:C15)</f>
        <v/>
      </c>
      <c r="E16" s="17">
        <f>SUM(E10:E15)</f>
        <v/>
      </c>
      <c r="F16" s="17">
        <f>SUM(F10:F15)</f>
        <v/>
      </c>
      <c r="G16" s="17">
        <f>IFERROR(C16/F16,"")</f>
        <v/>
      </c>
      <c r="H16" s="17">
        <f>SUM(H10:H15)</f>
        <v/>
      </c>
      <c r="I16" s="17">
        <f>IFERROR(C16/H16,"")</f>
        <v/>
      </c>
      <c r="J16" s="17">
        <f>SUM(J10:J15)</f>
        <v/>
      </c>
    </row>
  </sheetData>
  <mergeCells count="4">
    <mergeCell ref="B7:I7"/>
    <mergeCell ref="B6:I6"/>
    <mergeCell ref="B5:I5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2" t="inlineStr">
        <is>
          <t>«Сложный случай» · тест: Яндекс бренд</t>
        </is>
      </c>
    </row>
    <row r="2">
      <c r="A2" s="18" t="inlineStr">
        <is>
          <t>Бюджет теста: 100 €  ·  окно: 01–30.09 (ранняя цена до 30.09)</t>
        </is>
      </c>
    </row>
    <row r="4">
      <c r="A4" s="17" t="inlineStr">
        <is>
          <t>Параметры</t>
        </is>
      </c>
    </row>
    <row r="5">
      <c r="A5" s="17" t="inlineStr">
        <is>
          <t>Тип</t>
        </is>
      </c>
      <c r="B5" s="19" t="inlineStr">
        <is>
          <t>Поисковая бренд-защита (только брендовые запросы)</t>
        </is>
      </c>
    </row>
    <row r="6">
      <c r="A6" s="17" t="inlineStr">
        <is>
          <t>Семантика</t>
        </is>
      </c>
      <c r="B6" s="19" t="inlineStr">
        <is>
          <t>«миг институт гештальта», «международный институт гештальта», варианты написания; минус-слова от МИГиП/МГИ курсов</t>
        </is>
      </c>
    </row>
    <row r="7">
      <c r="A7" s="17" t="inlineStr">
        <is>
          <t>Гео</t>
        </is>
      </c>
      <c r="B7" s="19" t="inlineStr">
        <is>
          <t>РФ + СНГ</t>
        </is>
      </c>
    </row>
    <row r="8">
      <c r="A8" s="17" t="inlineStr">
        <is>
          <t>Посадочная</t>
        </is>
      </c>
      <c r="B8" s="19" t="inlineStr">
        <is>
          <t>mig.institute (или лендинг «Сложного случая» для запросов с «ппк/повышение квалификации»)</t>
        </is>
      </c>
    </row>
    <row r="9">
      <c r="A9" s="17" t="inlineStr">
        <is>
          <t>Задача</t>
        </is>
      </c>
      <c r="B9" s="19" t="inlineStr">
        <is>
          <t>Не отдавать готовых покупателей конкурентам-однофамильцам; проверить, кто рекламируется по бренду МИГ</t>
        </is>
      </c>
    </row>
    <row r="11">
      <c r="A11" s="17" t="inlineStr">
        <is>
          <t>KPI и стоп-лосс</t>
        </is>
      </c>
    </row>
    <row r="12">
      <c r="A12" s="20" t="inlineStr">
        <is>
          <t>Цель CPC</t>
        </is>
      </c>
      <c r="B12" s="21" t="inlineStr">
        <is>
          <t>≤ 0,3 € (брендовые клики дёшевы)</t>
        </is>
      </c>
    </row>
    <row r="13">
      <c r="A13" s="20" t="inlineStr">
        <is>
          <t>Цель CPL</t>
        </is>
      </c>
      <c r="B13" s="21" t="inlineStr">
        <is>
          <t>≤ 10 €</t>
        </is>
      </c>
    </row>
    <row r="14">
      <c r="A14" s="20" t="inlineStr">
        <is>
          <t>Стоп-лосс</t>
        </is>
      </c>
      <c r="B14" s="21" t="inlineStr">
        <is>
          <t>Не расширять на небрендовые запросы в рамках теста</t>
        </is>
      </c>
    </row>
    <row r="15">
      <c r="A15" s="20" t="inlineStr">
        <is>
          <t>Ожидание теста</t>
        </is>
      </c>
      <c r="B15" s="21" t="inlineStr">
        <is>
          <t>~10 лидов высочайшего качества</t>
        </is>
      </c>
    </row>
    <row r="17">
      <c r="A17" s="17" t="inlineStr">
        <is>
          <t>Недельный трекинг (заполнять факт; расчётные колонки считаются сами)</t>
        </is>
      </c>
    </row>
    <row r="18">
      <c r="A18" s="23" t="inlineStr">
        <is>
          <t>Неделя</t>
        </is>
      </c>
      <c r="B18" s="23" t="inlineStr">
        <is>
          <t>Расход €</t>
        </is>
      </c>
      <c r="C18" s="23" t="inlineStr">
        <is>
          <t>Показы</t>
        </is>
      </c>
      <c r="D18" s="23" t="inlineStr">
        <is>
          <t>Клики</t>
        </is>
      </c>
      <c r="E18" s="23" t="inlineStr">
        <is>
          <t>CPC €</t>
        </is>
      </c>
      <c r="F18" s="23" t="inlineStr">
        <is>
          <t>CTR %</t>
        </is>
      </c>
      <c r="G18" s="23" t="inlineStr">
        <is>
          <t>Лиды</t>
        </is>
      </c>
      <c r="H18" s="23" t="inlineStr">
        <is>
          <t>CPL €</t>
        </is>
      </c>
      <c r="I18" s="23" t="inlineStr">
        <is>
          <t>Квал лиды</t>
        </is>
      </c>
      <c r="J18" s="23" t="inlineStr">
        <is>
          <t>Цена квал-лида €</t>
        </is>
      </c>
      <c r="K18" s="23" t="inlineStr">
        <is>
          <t>Продажи</t>
        </is>
      </c>
      <c r="L18" s="23" t="inlineStr">
        <is>
          <t>CAC €</t>
        </is>
      </c>
    </row>
    <row r="19">
      <c r="A19" s="24" t="inlineStr">
        <is>
          <t>01.09–07.09</t>
        </is>
      </c>
      <c r="B19" s="24" t="n"/>
      <c r="C19" s="24" t="n"/>
      <c r="D19" s="24" t="n"/>
      <c r="E19" s="24">
        <f>IFERROR(B19/D19,"")</f>
        <v/>
      </c>
      <c r="F19" s="24">
        <f>IFERROR(D19/C19*100,"")</f>
        <v/>
      </c>
      <c r="G19" s="24" t="n"/>
      <c r="H19" s="24">
        <f>IFERROR(B19/G19,"")</f>
        <v/>
      </c>
      <c r="I19" s="24" t="n"/>
      <c r="J19" s="24">
        <f>IFERROR(B19/I19,"")</f>
        <v/>
      </c>
      <c r="K19" s="24" t="n"/>
      <c r="L19" s="24">
        <f>IFERROR(B19/K19,"")</f>
        <v/>
      </c>
    </row>
    <row r="20">
      <c r="A20" s="24" t="inlineStr">
        <is>
          <t>08.09–14.09</t>
        </is>
      </c>
      <c r="B20" s="24" t="n"/>
      <c r="C20" s="24" t="n"/>
      <c r="D20" s="24" t="n"/>
      <c r="E20" s="24">
        <f>IFERROR(B20/D20,"")</f>
        <v/>
      </c>
      <c r="F20" s="24">
        <f>IFERROR(D20/C20*100,"")</f>
        <v/>
      </c>
      <c r="G20" s="24" t="n"/>
      <c r="H20" s="24">
        <f>IFERROR(B20/G20,"")</f>
        <v/>
      </c>
      <c r="I20" s="24" t="n"/>
      <c r="J20" s="24">
        <f>IFERROR(B20/I20,"")</f>
        <v/>
      </c>
      <c r="K20" s="24" t="n"/>
      <c r="L20" s="24">
        <f>IFERROR(B20/K20,"")</f>
        <v/>
      </c>
    </row>
    <row r="21">
      <c r="A21" s="24" t="inlineStr">
        <is>
          <t>15.09–21.09</t>
        </is>
      </c>
      <c r="B21" s="24" t="n"/>
      <c r="C21" s="24" t="n"/>
      <c r="D21" s="24" t="n"/>
      <c r="E21" s="24">
        <f>IFERROR(B21/D21,"")</f>
        <v/>
      </c>
      <c r="F21" s="24">
        <f>IFERROR(D21/C21*100,"")</f>
        <v/>
      </c>
      <c r="G21" s="24" t="n"/>
      <c r="H21" s="24">
        <f>IFERROR(B21/G21,"")</f>
        <v/>
      </c>
      <c r="I21" s="24" t="n"/>
      <c r="J21" s="24">
        <f>IFERROR(B21/I21,"")</f>
        <v/>
      </c>
      <c r="K21" s="24" t="n"/>
      <c r="L21" s="24">
        <f>IFERROR(B21/K21,"")</f>
        <v/>
      </c>
    </row>
    <row r="22">
      <c r="A22" s="24" t="inlineStr">
        <is>
          <t>22.09–30.09</t>
        </is>
      </c>
      <c r="B22" s="24" t="n"/>
      <c r="C22" s="24" t="n"/>
      <c r="D22" s="24" t="n"/>
      <c r="E22" s="24">
        <f>IFERROR(B22/D22,"")</f>
        <v/>
      </c>
      <c r="F22" s="24">
        <f>IFERROR(D22/C22*100,"")</f>
        <v/>
      </c>
      <c r="G22" s="24" t="n"/>
      <c r="H22" s="24">
        <f>IFERROR(B22/G22,"")</f>
        <v/>
      </c>
      <c r="I22" s="24" t="n"/>
      <c r="J22" s="24">
        <f>IFERROR(B22/I22,"")</f>
        <v/>
      </c>
      <c r="K22" s="24" t="n"/>
      <c r="L22" s="24">
        <f>IFERROR(B22/K22,"")</f>
        <v/>
      </c>
    </row>
    <row r="23">
      <c r="A23" s="25" t="inlineStr">
        <is>
          <t>ИТОГО</t>
        </is>
      </c>
      <c r="B23" s="25">
        <f>SUM(B19:B22)</f>
        <v/>
      </c>
      <c r="C23" s="25">
        <f>SUM(C19:C22)</f>
        <v/>
      </c>
      <c r="D23" s="25">
        <f>SUM(D19:D22)</f>
        <v/>
      </c>
      <c r="E23" s="25">
        <f>IFERROR(B23/D23,"")</f>
        <v/>
      </c>
      <c r="F23" s="25">
        <f>IFERROR(D23/C23*100,"")</f>
        <v/>
      </c>
      <c r="G23" s="25">
        <f>SUM(G19:G22)</f>
        <v/>
      </c>
      <c r="H23" s="25">
        <f>IFERROR(B23/G23,"")</f>
        <v/>
      </c>
      <c r="I23" s="25">
        <f>SUM(I19:I22)</f>
        <v/>
      </c>
      <c r="J23" s="25">
        <f>IFERROR(B23/I23,"")</f>
        <v/>
      </c>
      <c r="K23" s="25">
        <f>SUM(K19:K22)</f>
        <v/>
      </c>
      <c r="L23" s="25">
        <f>IFERROR(B23/K23,"")</f>
        <v/>
      </c>
    </row>
  </sheetData>
  <mergeCells count="9">
    <mergeCell ref="B8:H8"/>
    <mergeCell ref="B14:H14"/>
    <mergeCell ref="B9:H9"/>
    <mergeCell ref="B13:H13"/>
    <mergeCell ref="B12:H12"/>
    <mergeCell ref="B6:H6"/>
    <mergeCell ref="B15:H15"/>
    <mergeCell ref="B7:H7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2026-08-07T14:18:51Z</dcterms:created>
  <dcterms:modified xsi:type="dcterms:W3CDTF">2026-08-07T15:00:20Z</dcterms:modified>
</cp:coreProperties>
</file>