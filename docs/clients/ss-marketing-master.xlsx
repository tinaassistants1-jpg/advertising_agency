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Цел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1 Юнит-экономика" sheetId="3" state="visible" r:id="rId3"/>
    <sheet xmlns:r="http://schemas.openxmlformats.org/officeDocument/2006/relationships" name="2 Маркетинг-план" sheetId="4" state="visible" r:id="rId4"/>
    <sheet xmlns:r="http://schemas.openxmlformats.org/officeDocument/2006/relationships" name="3 План продаж ОП" sheetId="5" state="visible" r:id="rId5"/>
    <sheet xmlns:r="http://schemas.openxmlformats.org/officeDocument/2006/relationships" name="4 Набор 20-40-60" sheetId="6" state="visible" r:id="rId6"/>
    <sheet xmlns:r="http://schemas.openxmlformats.org/officeDocument/2006/relationships" name="5 Один клиент" sheetId="7" state="visible" r:id="rId7"/>
    <sheet xmlns:r="http://schemas.openxmlformats.org/officeDocument/2006/relationships" name="6 План-график рекламы" sheetId="8" state="visible" r:id="rId8"/>
    <sheet xmlns:r="http://schemas.openxmlformats.org/officeDocument/2006/relationships" name="7 Креативы" sheetId="9" state="visible" r:id="rId9"/>
    <sheet xmlns:r="http://schemas.openxmlformats.org/officeDocument/2006/relationships" name="8 Бюджет 3 сценария" sheetId="10" state="visible" r:id="rId10"/>
    <sheet xmlns:r="http://schemas.openxmlformats.org/officeDocument/2006/relationships" name="9 Тесты креативов" sheetId="11" state="visible" r:id="rId11"/>
    <sheet xmlns:r="http://schemas.openxmlformats.org/officeDocument/2006/relationships" name="10 Расходы" sheetId="12" state="visible" r:id="rId12"/>
    <sheet xmlns:r="http://schemas.openxmlformats.org/officeDocument/2006/relationships" name="11 Каналы продаж" sheetId="13" state="visible" r:id="rId13"/>
    <sheet xmlns:r="http://schemas.openxmlformats.org/officeDocument/2006/relationships" name="12 ТЗ на правки" sheetId="14" state="visible" r:id="rId14"/>
    <sheet xmlns:r="http://schemas.openxmlformats.org/officeDocument/2006/relationships" name="13 Нужные данные" sheetId="15" state="visible" r:id="rId15"/>
    <sheet xmlns:r="http://schemas.openxmlformats.org/officeDocument/2006/relationships" name="14 Источник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&quot;x&quot;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2E5496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2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5" pivotButton="0" quotePrefix="0" xfId="0"/>
    <xf numFmtId="1" fontId="7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pivotButton="0" quotePrefix="0" xfId="0"/>
    <xf numFmtId="0" fontId="6" fillId="0" borderId="0" pivotButton="0" quotePrefix="0" xfId="0"/>
    <xf numFmtId="164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164" fontId="5" fillId="4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Nova Leads</author>
  </authors>
  <commentList>
    <comment ref="C19" authorId="0" shapeId="0">
      <text>
        <t>Состав по тарифам — ПЛАН (голубой = правь). Пропорции от плана клиента (лист «3 Воронка и сценарии» исходного файла) с поправкой совета: конверсии воронки снижены до честных нормативов, поэтому и составы ниже. Практик — целевой тариф.</t>
      </text>
    </comment>
    <comment ref="C24" authorId="0" shapeId="0">
      <text>
        <t>Формула: сумма (цена тарифа × число оплат). Цены ранние (до 30.09) — консервативно: оплаты после 30.09 пройдут по обычной цене и дадут выручку выше расчётной.</t>
      </text>
    </comment>
    <comment ref="C27" authorId="0" shapeId="0">
      <text>
        <t>Блендед CAC честен только потому, что БОЛЬШАЯ часть оплат приходит из бесплатных тёплых пулов (95 лидов уже оплачены прошлой рекламой, выпускники, база). CAC чисто платного холодного клиента — 500 € (раздел А).</t>
      </text>
    </comment>
    <comment ref="C30" authorId="0" shapeId="0">
      <text>
        <t>LTV/CAC = LTV ÷ (бюджет/оплаты). Здоровым считается LTV/CAC ≥ 3 (общепринятый SaaS/EdTech ориентир, David Skok forentrepreneurs.com). Здесь десятки — потому что набор идёт по тёплой базе.</t>
      </text>
    </comment>
    <comment ref="C36" authorId="0" shapeId="0">
      <text>
        <t>ПЛАН. Ориентир — факт 2025: 50% студентов пришли не с рекламы (сарафан, внутренние студенты). В этом наборе доля тёплых ещё выше: главный источник — пулы (95 лидов, 56 выпускников, база), реклама добавляет меньшинство.</t>
      </text>
    </comment>
    <comment ref="C37" authorId="0" shapeId="0">
      <text>
        <t>Настоящая цена платного клиента. Сравнивать с допустимым CAC 650–1 350 € (R04) и с фактом 2025 (72 € при прогреве). Блендед CAC выше по листу — операционная метрика, а не цена рекламы.</t>
      </text>
    </comment>
  </commentList>
</comments>
</file>

<file path=xl/comments/comment2.xml><?xml version="1.0" encoding="utf-8"?>
<comments xmlns="http://schemas.openxmlformats.org/spreadsheetml/2006/main">
  <authors>
    <author>Nova Leads</author>
  </authors>
  <commentList>
    <comment ref="B10" authorId="0" shapeId="0">
      <text>
        <t>Обратный расчёт 60 оплат (нормативы совета): 60 ÷ 0,6 (интервью→оплата) = 100 интервью; ÷ 0,55 (доходимость) = 182 заявки; ÷ 0,35 = 520 ответивших; ÷ 0,2 (ответ) = 2 600 контактов. Наши пулы: ~840 (включая вебинарные регистрации). Дефицит ×3.</t>
      </text>
    </comment>
  </commentList>
</comments>
</file>

<file path=xl/comments/comment3.xml><?xml version="1.0" encoding="utf-8"?>
<comments xmlns="http://schemas.openxmlformats.org/spreadsheetml/2006/main">
  <authors>
    <author>Nova Leads</author>
  </authors>
  <commentList>
    <comment ref="B7" authorId="0" shapeId="0">
      <text>
        <t>Для отличения CTR 1% от 1,5% с 80% мощностью нужно ~7 700 показов на вариант (стандартный расчёт мощности для пропорций, α=0,05. Методология: ad-forecasting-and-testing.md, раздел 2).</t>
      </text>
    </comment>
    <comment ref="B8" authorId="0" shapeId="0">
      <text>
        <t>ДОПУЩЕНИЕ 5–15 € (вердикт совета). Проверяется первой неделей открутки. Meta не публикует CPM по нишам; отраслевые агрегаторы (WordStream 2024) дают широкие диапазоны — калибруем фактом.</t>
      </text>
    </comment>
    <comment ref="B14" authorId="0" shapeId="0">
      <text>
        <t>Честно: 10 лидов на вариант НЕ дают статистической значимости (для неё нужны 50–100 конверсий — Meta learning phase, facebook.com/business/help). Это управленческое решение «какой креатив масштабировать», а не научный вывод. Настоящий тест продолжится в открутке.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Цели набора (вводная владельца 17.08) и путь к 20 «Практикам»</t>
        </is>
      </c>
    </row>
    <row r="2">
      <c r="A2" s="2" t="inlineStr">
        <is>
          <t>Цели ставит владелец — они выше прогноза, и это нормально: цель тянет, прогноз проверяет. Здесь — обратный расчёт: что должно стать правдой, чтобы цель была взята.</t>
        </is>
      </c>
    </row>
    <row r="4">
      <c r="A4" s="4" t="inlineStr">
        <is>
          <t>Формулировка</t>
        </is>
      </c>
      <c r="B4" s="4" t="inlineStr">
        <is>
          <t>Минимум</t>
        </is>
      </c>
      <c r="C4" s="4" t="inlineStr">
        <is>
          <t>Максимум</t>
        </is>
      </c>
      <c r="D4" s="4" t="inlineStr">
        <is>
          <t>Примечание</t>
        </is>
      </c>
    </row>
    <row r="5">
      <c r="A5" s="15" t="inlineStr">
        <is>
          <t>ЦЕЛЬ: продажи тарифа «Практик» до 04.11</t>
        </is>
      </c>
      <c r="B5" s="31" t="n">
        <v>20</v>
      </c>
      <c r="C5" s="31" t="n">
        <v>60</v>
      </c>
      <c r="D5" s="8" t="inlineStr">
        <is>
          <t>Главная цель. Практик 1 659 € ранний / 1 869 € обычный.</t>
        </is>
      </c>
    </row>
    <row r="6">
      <c r="A6" s="5" t="inlineStr">
        <is>
          <t>План на КАЖДЫЙ из тарифов</t>
        </is>
      </c>
      <c r="B6" s="18" t="n">
        <v>20</v>
      </c>
      <c r="C6" s="18" t="n">
        <v>60</v>
      </c>
      <c r="D6" s="8" t="inlineStr">
        <is>
          <t>Вводная владельца: мин/макс одинаковый на каждый тариф — это внутренние стретч-цели команды, не прогноз.</t>
        </is>
      </c>
    </row>
    <row r="7">
      <c r="A7" s="6" t="inlineStr">
        <is>
          <t>Коммуникация НАРУЖУ (сайт, реклама, команда МИГ)</t>
        </is>
      </c>
      <c r="B7" s="6" t="inlineStr">
        <is>
          <t>20 участий</t>
        </is>
      </c>
      <c r="C7" s="6" t="inlineStr">
        <is>
          <t>желательно 60</t>
        </is>
      </c>
      <c r="D7" s="8" t="inlineStr">
        <is>
          <t>Общая цель по всем тарифам вместе. Внутренние потарифные цели наружу не транслируем.</t>
        </is>
      </c>
    </row>
    <row r="9">
      <c r="A9" s="3" t="inlineStr">
        <is>
          <t>Обратный расчёт: что нужно для 20 «Практиков» к 04.11</t>
        </is>
      </c>
    </row>
    <row r="10">
      <c r="A10" s="4" t="inlineStr">
        <is>
          <t>Шаг воронки</t>
        </is>
      </c>
      <c r="B10" s="4" t="inlineStr">
        <is>
          <t>Значение</t>
        </is>
      </c>
      <c r="C10" s="4" t="inlineStr"/>
      <c r="D10" s="4" t="inlineStr">
        <is>
          <t>Норматив (совет)</t>
        </is>
      </c>
    </row>
    <row r="11">
      <c r="A11" s="5" t="inlineStr">
        <is>
          <t>Оплат «Практик»</t>
        </is>
      </c>
      <c r="B11" s="18" t="n">
        <v>20</v>
      </c>
      <c r="D11" s="8" t="inlineStr">
        <is>
          <t>Цель</t>
        </is>
      </c>
    </row>
    <row r="12">
      <c r="A12" s="6" t="inlineStr">
        <is>
          <t>Доля «Практика» в оплатах при Практик-центричных продажах</t>
        </is>
      </c>
      <c r="B12" s="14" t="n">
        <v>0.65</v>
      </c>
      <c r="D12" s="8" t="inlineStr">
        <is>
          <t>ДОПУЩЕНИЕ: интервью и лендинг продают ИМЕННО Практик (якорь), остальные тарифы — запасные позиции. Историческая доля — запрошена у Вали (лист 13, №3).</t>
        </is>
      </c>
    </row>
    <row r="13">
      <c r="A13" s="6" t="inlineStr">
        <is>
          <t>Оплат всего (20 ÷ 0,65)</t>
        </is>
      </c>
      <c r="B13" s="9">
        <f>B11/B12</f>
        <v/>
      </c>
      <c r="D13" s="8" t="inlineStr">
        <is>
          <t>Формула ≈ 31 оплата — это ОПТИМИСТИЧНЫЙ сценарий таблицы (28) с небольшим превышением</t>
        </is>
      </c>
    </row>
    <row r="14">
      <c r="A14" s="6" t="inlineStr">
        <is>
          <t>Интервью (÷ 0,60)</t>
        </is>
      </c>
      <c r="B14" s="9">
        <f>B13/0.6</f>
        <v/>
      </c>
      <c r="D14" s="8" t="inlineStr">
        <is>
          <t>интервью→оплата 60%</t>
        </is>
      </c>
    </row>
    <row r="15">
      <c r="A15" s="6" t="inlineStr">
        <is>
          <t>Заявок (÷ 0,55 доходимость)</t>
        </is>
      </c>
      <c r="B15" s="9">
        <f>B14/0.55</f>
        <v/>
      </c>
      <c r="D15" s="8" t="inlineStr">
        <is>
          <t>с напоминаниями за 24ч/2ч</t>
        </is>
      </c>
    </row>
    <row r="16">
      <c r="A16" s="6" t="inlineStr">
        <is>
          <t>Ответивших/дошедших (÷ 0,35)</t>
        </is>
      </c>
      <c r="B16" s="9">
        <f>B15/0.35</f>
        <v/>
      </c>
      <c r="D16" s="8" t="inlineStr">
        <is>
          <t>ответ→заявка 35%</t>
        </is>
      </c>
    </row>
    <row r="17">
      <c r="A17" s="6" t="inlineStr">
        <is>
          <t>Тёплых контактов (÷ 0,25)</t>
        </is>
      </c>
      <c r="B17" s="9">
        <f>B16/0.25</f>
        <v/>
      </c>
      <c r="D17" s="8" t="inlineStr">
        <is>
          <t>средний % ответа по пулам</t>
        </is>
      </c>
    </row>
    <row r="18">
      <c r="A18" s="5" t="inlineStr">
        <is>
          <t>Наши пулы сегодня (лист 3)</t>
        </is>
      </c>
      <c r="B18" s="9">
        <f>'3 План продаж ОП'!B11</f>
        <v/>
      </c>
      <c r="D18" s="8" t="inlineStr">
        <is>
          <t>≈ 841 контакт против ~1 066 нужных → дефицит ~21%. Чем закрываем: промо вебинаров в Meta (регистрации ×1,5), полная выгрузка email-базы, «назови коллегу» у выпускников</t>
        </is>
      </c>
    </row>
    <row r="20">
      <c r="A20" s="3" t="inlineStr">
        <is>
          <t>Что меняем в плане ради цели (Практик-центричность)</t>
        </is>
      </c>
    </row>
    <row r="21">
      <c r="A21" s="6" t="inlineStr">
        <is>
          <t>1. Интервью продаёт ТОЛЬКО Практик. Слушатель/Участник не предлагаем первыми — они существуют как «запасной выход» для тех, кто сам отказался. Якорение: разговор начинается с Практика и его супервизий.</t>
        </is>
      </c>
      <c r="B21" s="17" t="n"/>
      <c r="C21" s="17" t="n"/>
      <c r="D21" s="7" t="n"/>
    </row>
    <row r="22">
      <c r="A22" s="6" t="inlineStr">
        <is>
          <t>2. Лендинг: Практик визуально выделен как выбор программы (без слова «популярный» — по правилам сайта: иерархией и полнотой описания).</t>
        </is>
      </c>
      <c r="B22" s="17" t="n"/>
      <c r="C22" s="17" t="n"/>
      <c r="D22" s="7" t="n"/>
    </row>
    <row r="23">
      <c r="A23" s="6" t="inlineStr">
        <is>
          <t>3. Дедлайны считаем по Практику: «ранний Практик 1 659 € до 30.09 — выгода 210 €» — во всех письмах дедлайна.</t>
        </is>
      </c>
      <c r="B23" s="17" t="n"/>
      <c r="C23" s="17" t="n"/>
      <c r="D23" s="7" t="n"/>
    </row>
    <row r="24">
      <c r="A24" s="6" t="inlineStr">
        <is>
          <t>4. Апгрейд-механика: правило «повышение тарифа до 4-й встречи» — отдельная волна продаж ПОСЛЕ старта 04.12 (Слушатели и Участники получают предложение апгрейда на 1-3 неделях программы). Продажи Практика не заканчиваются 04.11!</t>
        </is>
      </c>
      <c r="B24" s="17" t="n"/>
      <c r="C24" s="17" t="n"/>
      <c r="D24" s="7" t="n"/>
    </row>
    <row r="25">
      <c r="A25" s="6" t="inlineStr">
        <is>
          <t>5. Выпускники: их статус (цена Участника, доступ Практика) уже продаёт ценность Практика — в письме прямо называем это «доступ уровня Практик».</t>
        </is>
      </c>
      <c r="B25" s="17" t="n"/>
      <c r="C25" s="17" t="n"/>
      <c r="D25" s="7" t="n"/>
    </row>
    <row r="26">
      <c r="A26" s="6" t="inlineStr">
        <is>
          <t>6. Вебинары: в конце каждого — разбор именно механики супервизий и конференции случаев (ядро Практика), а не общий анонс.</t>
        </is>
      </c>
      <c r="B26" s="17" t="n"/>
      <c r="C26" s="17" t="n"/>
      <c r="D26" s="7" t="n"/>
    </row>
    <row r="27">
      <c r="A27" s="6" t="inlineStr">
        <is>
          <t>7. Бюджет под цель: 20 Практиков ≈ 31 оплата = оптимистичный сценарий → нужен оптимистичный бюджет 4 000 € и ВСЕ условия листа 4 (обзвонщик, вторая ступень цены, добор до 04.12).</t>
        </is>
      </c>
      <c r="B27" s="17" t="n"/>
      <c r="C27" s="17" t="n"/>
      <c r="D27" s="7" t="n"/>
    </row>
    <row r="29">
      <c r="A29" s="22" t="inlineStr">
        <is>
          <t>ЧЕСТНАЯ РАМКА (правило «только правда»)</t>
        </is>
      </c>
      <c r="B29" s="23" t="inlineStr"/>
      <c r="C29" s="23" t="inlineStr"/>
      <c r="D29" s="32" t="inlineStr">
        <is>
          <t>Цель 20 Практиков ≈ 31 оплата всего — на 55% выше реалистичного прогноза (20) и выше любого исторического потока (21 макс). Взять её можно только при одновременном выполнении ВСЕХ условий выше. Цель «60 Практиков» (≈92 оплаты) в это окно арифметически недостижима (пулы меньше в 3 раза) — это цель горизонта 2027, см. лист 4. Недельный контроль по Практику: 30.09 — 7, 25.10 — 13, 04.11 — 20.</t>
        </is>
      </c>
    </row>
  </sheetData>
  <mergeCells count="8">
    <mergeCell ref="A23:D23"/>
    <mergeCell ref="A27:D27"/>
    <mergeCell ref="A22:D22"/>
    <mergeCell ref="A26:D26"/>
    <mergeCell ref="A21:D21"/>
    <mergeCell ref="A25:D25"/>
    <mergeCell ref="A24:D24"/>
    <mergeCell ref="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Сложный случай — маркетинг и продажи до 04.12.2026</t>
        </is>
      </c>
    </row>
    <row r="2">
      <c r="A2" s="2" t="inlineStr">
        <is>
          <t>Единая таблица Nova Leads, 17.08.2026. Голубые ячейки — допущения (правь их), чёрные — формулы. Источники — в примечаниях к ячейкам (наведи на уголок).</t>
        </is>
      </c>
    </row>
    <row r="4">
      <c r="A4" s="3" t="inlineStr">
        <is>
          <t>Рамка (все — факты клиента)</t>
        </is>
      </c>
    </row>
    <row r="5">
      <c r="A5" s="4" t="inlineStr">
        <is>
          <t>Параметр</t>
        </is>
      </c>
      <c r="B5" s="4" t="inlineStr">
        <is>
          <t>Значение</t>
        </is>
      </c>
      <c r="C5" s="4" t="inlineStr"/>
      <c r="D5" s="4" t="inlineStr">
        <is>
          <t>Источник</t>
        </is>
      </c>
    </row>
    <row r="6">
      <c r="A6" s="5" t="inlineStr">
        <is>
          <t>Старт потока</t>
        </is>
      </c>
      <c r="B6" s="6" t="inlineStr">
        <is>
          <t>04.12.2026</t>
        </is>
      </c>
      <c r="C6" s="7" t="n"/>
      <c r="D6" s="8" t="inlineStr">
        <is>
          <t>Факт, Тина 17.08</t>
        </is>
      </c>
    </row>
    <row r="7">
      <c r="A7" s="5" t="inlineStr">
        <is>
          <t>Дедлайн набора</t>
        </is>
      </c>
      <c r="B7" s="6" t="inlineStr">
        <is>
          <t>04.11.2026</t>
        </is>
      </c>
      <c r="C7" s="7" t="n"/>
      <c r="D7" s="8" t="inlineStr">
        <is>
          <t>Факт, Тина 17.08</t>
        </is>
      </c>
    </row>
    <row r="8">
      <c r="A8" s="5" t="inlineStr">
        <is>
          <t>Окно набора с сегодня</t>
        </is>
      </c>
      <c r="B8" s="6" t="inlineStr">
        <is>
          <t>79 дней (17.08→04.11)</t>
        </is>
      </c>
      <c r="C8" s="7" t="n"/>
      <c r="D8" s="8" t="inlineStr">
        <is>
          <t>Расчёт</t>
        </is>
      </c>
    </row>
    <row r="9">
      <c r="A9" s="5" t="inlineStr">
        <is>
          <t>Цикл сделки</t>
        </is>
      </c>
      <c r="B9" s="6" t="inlineStr">
        <is>
          <t>106 дней (3,5 мес)</t>
        </is>
      </c>
      <c r="C9" s="7" t="n"/>
      <c r="D9" s="8" t="inlineStr">
        <is>
          <t>Факт, Валя</t>
        </is>
      </c>
    </row>
    <row r="10">
      <c r="A10" s="5" t="inlineStr">
        <is>
          <t>ГЛАВНОЕ ОГРАНИЧЕНИЕ</t>
        </is>
      </c>
      <c r="B10" s="6" t="inlineStr">
        <is>
          <t>Окно КОРОЧЕ цикла на 27 дней → набор строится на тёплых пулах; холодный трафик работает на следующий поток</t>
        </is>
      </c>
      <c r="C10" s="7" t="n"/>
      <c r="D10" s="8" t="inlineStr">
        <is>
          <t>Арифметика</t>
        </is>
      </c>
    </row>
    <row r="11">
      <c r="A11" s="5" t="inlineStr">
        <is>
          <t>Цель</t>
        </is>
      </c>
      <c r="B11" s="6" t="inlineStr">
        <is>
          <t>минимум 20 оплат (потолок зала 60)</t>
        </is>
      </c>
      <c r="C11" s="7" t="n"/>
      <c r="D11" s="8" t="inlineStr">
        <is>
          <t>Факт, Тина</t>
        </is>
      </c>
    </row>
    <row r="12">
      <c r="A12" s="5" t="inlineStr">
        <is>
          <t>Исторические потоки</t>
        </is>
      </c>
      <c r="B12" s="6" t="inlineStr">
        <is>
          <t>2023: 15 · 2024: 21 · 2025: 20</t>
        </is>
      </c>
      <c r="C12" s="7" t="n"/>
      <c r="D12" s="8" t="inlineStr">
        <is>
          <t>Факт, реестр участников</t>
        </is>
      </c>
    </row>
    <row r="13">
      <c r="A13" s="5" t="inlineStr">
        <is>
          <t>Ранняя цена</t>
        </is>
      </c>
      <c r="B13" s="6" t="inlineStr">
        <is>
          <t>до 30.09.2026</t>
        </is>
      </c>
      <c r="C13" s="7" t="n"/>
      <c r="D13" s="8" t="inlineStr">
        <is>
          <t>Факт</t>
        </is>
      </c>
    </row>
    <row r="15">
      <c r="A15" s="3" t="inlineStr">
        <is>
          <t>Три сценария одним взглядом (детали — листы 4, 8)</t>
        </is>
      </c>
    </row>
    <row r="16">
      <c r="A16" s="4" t="inlineStr">
        <is>
          <t>Показатель</t>
        </is>
      </c>
      <c r="B16" s="4" t="inlineStr">
        <is>
          <t>Пессимистично</t>
        </is>
      </c>
      <c r="C16" s="4" t="inlineStr">
        <is>
          <t>Реалистично</t>
        </is>
      </c>
      <c r="D16" s="4" t="inlineStr">
        <is>
          <t>Оптимистично</t>
        </is>
      </c>
    </row>
    <row r="17">
      <c r="A17" s="5" t="inlineStr">
        <is>
          <t>Оплат к 04.11</t>
        </is>
      </c>
      <c r="B17" s="9">
        <f>'1 Юнит-экономика'!B23</f>
        <v/>
      </c>
      <c r="C17" s="9">
        <f>'1 Юнит-экономика'!C23</f>
        <v/>
      </c>
      <c r="D17" s="9">
        <f>'1 Юнит-экономика'!D23</f>
        <v/>
      </c>
    </row>
    <row r="18">
      <c r="A18" s="5" t="inlineStr">
        <is>
          <t>Выручка (ранние цены)</t>
        </is>
      </c>
      <c r="B18" s="10">
        <f>'1 Юнит-экономика'!B24</f>
        <v/>
      </c>
      <c r="C18" s="10">
        <f>'1 Юнит-экономика'!C24</f>
        <v/>
      </c>
      <c r="D18" s="10">
        <f>'1 Юнит-экономика'!D24</f>
        <v/>
      </c>
    </row>
    <row r="19">
      <c r="A19" s="5" t="inlineStr">
        <is>
          <t>Рекламный бюджет</t>
        </is>
      </c>
      <c r="B19" s="10">
        <f>'1 Юнит-экономика'!B26</f>
        <v/>
      </c>
      <c r="C19" s="10">
        <f>'1 Юнит-экономика'!C26</f>
        <v/>
      </c>
      <c r="D19" s="10">
        <f>'1 Юнит-экономика'!D26</f>
        <v/>
      </c>
    </row>
    <row r="20">
      <c r="A20" s="5" t="inlineStr">
        <is>
          <t>CAC (блендед)</t>
        </is>
      </c>
      <c r="B20" s="10">
        <f>'1 Юнит-экономика'!B27</f>
        <v/>
      </c>
      <c r="C20" s="10">
        <f>'1 Юнит-экономика'!C27</f>
        <v/>
      </c>
      <c r="D20" s="10">
        <f>'1 Юнит-экономика'!D27</f>
        <v/>
      </c>
    </row>
    <row r="21">
      <c r="A21" s="5" t="inlineStr">
        <is>
          <t>Бюджет / выручка</t>
        </is>
      </c>
      <c r="B21" s="11">
        <f>'1 Юнит-экономика'!B28</f>
        <v/>
      </c>
      <c r="C21" s="11">
        <f>'1 Юнит-экономика'!C28</f>
        <v/>
      </c>
      <c r="D21" s="11">
        <f>'1 Юнит-экономика'!D28</f>
        <v/>
      </c>
    </row>
    <row r="23">
      <c r="A23" s="12" t="inlineStr">
        <is>
          <t>Правило чтения: цифры со статусом ФАКТ взяты из данных клиента; ДОПУЩЕНИЕ — наша оценка на бенчмарках (источник в примечании); всё пересчитывается формулами при замене допущений.</t>
        </is>
      </c>
    </row>
    <row r="25">
      <c r="A25" s="2" t="inlineStr">
        <is>
          <t>Почему у пессимиста бюджет МЕНЬШЕ: пессимистичный сценарий = плохой отклик, а при плохом отклике stop-loss останавливает траты (150 € без лида → стоп). Худший случай «потратили много — получили мало» посчитан отдельно: лист 1, раздел Г (стресс-тест).</t>
        </is>
      </c>
    </row>
  </sheetData>
  <mergeCells count="10">
    <mergeCell ref="B13:C13"/>
    <mergeCell ref="B6:C6"/>
    <mergeCell ref="A23:D23"/>
    <mergeCell ref="B7:C7"/>
    <mergeCell ref="B11:C11"/>
    <mergeCell ref="B10:C10"/>
    <mergeCell ref="A25:D25"/>
    <mergeCell ref="B9:C9"/>
    <mergeCell ref="B8:C8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 outlineLevelCol="0"/>
  <cols>
    <col width="4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Юнит-экономика: лид и платящий клиент</t>
        </is>
      </c>
    </row>
    <row r="3">
      <c r="A3" s="3" t="inlineStr">
        <is>
          <t>А. Юнит-экономика ЛИДА (что стоит один контакт и во что он превращается)</t>
        </is>
      </c>
    </row>
    <row r="4">
      <c r="A4" s="4" t="inlineStr">
        <is>
          <t>Показатель</t>
        </is>
      </c>
      <c r="B4" s="4" t="inlineStr">
        <is>
          <t>Значение</t>
        </is>
      </c>
      <c r="C4" s="4" t="inlineStr"/>
      <c r="D4" s="4" t="inlineStr"/>
      <c r="E4" s="4" t="inlineStr">
        <is>
          <t>Источник / статус</t>
        </is>
      </c>
    </row>
    <row r="5">
      <c r="A5" s="6" t="inlineStr">
        <is>
          <t>CPL лид-формы Meta (холод), факт 13.07–05.08.2026</t>
        </is>
      </c>
      <c r="B5" s="13" t="n">
        <v>4.87</v>
      </c>
      <c r="E5" s="8" t="inlineStr">
        <is>
          <t>ФАКТ клиента (xlsx 07.08). ВНИМАНИЕ: кампания отключена из-за фрода, 90% лидов игнор. Эту цену НЕ закладываем в план.</t>
        </is>
      </c>
    </row>
    <row r="6">
      <c r="A6" s="6" t="inlineStr">
        <is>
          <t>CPL холодного Meta на лендинг, план</t>
        </is>
      </c>
      <c r="B6" s="13" t="n">
        <v>20</v>
      </c>
      <c r="E6" s="8" t="inlineStr">
        <is>
          <t>ДОПУЩЕНИЕ 15–25 €. Бенчмарк образования: медиана ~21 € (WordStream/LocaliQ 2024, benchmarks.md R05). Вердикт совета: CPL 5 € — фродовый мусор, планировать по бенчмарку.</t>
        </is>
      </c>
    </row>
    <row r="7">
      <c r="A7" s="6" t="inlineStr">
        <is>
          <t>CPL ретаргетинга (пиксель, вовлечённые IG/FB)</t>
        </is>
      </c>
      <c r="B7" s="13" t="n">
        <v>12</v>
      </c>
      <c r="E7" s="8" t="inlineStr">
        <is>
          <t>ДОПУЩЕНИЕ: тёплая аудитория в 1,5–2 раза дешевле холода (Meta best practices; наша бюджет-модель).</t>
        </is>
      </c>
    </row>
    <row r="8">
      <c r="A8" s="6" t="inlineStr">
        <is>
          <t>CPL посева Telegram (профильные каналы психологов)</t>
        </is>
      </c>
      <c r="B8" s="13" t="n">
        <v>15</v>
      </c>
      <c r="E8" s="8" t="inlineStr">
        <is>
          <t>ДОПУЩЕНИЕ по протоколу R06 (TGStat-проверка каналов до оплаты).</t>
        </is>
      </c>
    </row>
    <row r="9">
      <c r="A9" s="6" t="inlineStr">
        <is>
          <t>Цена регистрации на вебинар (промо в Meta)</t>
        </is>
      </c>
      <c r="B9" s="13" t="n">
        <v>4</v>
      </c>
      <c r="E9" s="8" t="inlineStr">
        <is>
          <t>ДОПУЩЕНИЕ 3–6 €: регистрация на бесплатное дешевле лида на платное; калибруем первым вебинаром.</t>
        </is>
      </c>
    </row>
    <row r="10">
      <c r="A10" s="6" t="inlineStr">
        <is>
          <t>Цена КВАЛИФИЦИРОВАННОГО лида, факт 2026</t>
        </is>
      </c>
      <c r="B10" s="13" t="n">
        <v>34.5</v>
      </c>
      <c r="E10" s="8" t="inlineStr">
        <is>
          <t>ФАКТ клиента: 25–44 € (11 квал из ~105). Это рабочая метрика вместо CPL.</t>
        </is>
      </c>
    </row>
    <row r="11">
      <c r="A11" s="6" t="inlineStr">
        <is>
          <t>Конверсия лид → оплата С ПРОГРЕВОМ (вебинары)</t>
        </is>
      </c>
      <c r="B11" s="14" t="n">
        <v>0.07199999999999999</v>
      </c>
      <c r="E11" s="8" t="inlineStr">
        <is>
          <t>ФАКТ 2025: 7,2% (10 студентов с рекламы из 138 лидов, 7 промо-вебинаров).</t>
        </is>
      </c>
    </row>
    <row r="12">
      <c r="A12" s="6" t="inlineStr">
        <is>
          <t>Конверсия лид → оплата БЕЗ прогрева</t>
        </is>
      </c>
      <c r="B12" s="14" t="n">
        <v>0.01</v>
      </c>
      <c r="E12" s="8" t="inlineStr">
        <is>
          <t>ФАКТ 2026: ~1% (1 оплата из ~105 лидов лид-форм).</t>
        </is>
      </c>
    </row>
    <row r="13">
      <c r="A13" s="6" t="inlineStr">
        <is>
          <t>Стоимость ОПЛАТЫ с прогревом (механика 2025)</t>
        </is>
      </c>
      <c r="B13" s="13" t="n">
        <v>72.3</v>
      </c>
      <c r="E13" s="8" t="inlineStr">
        <is>
          <t>ФАКТ 2025: 723 € ÷ 10 рекламных студентов.</t>
        </is>
      </c>
    </row>
    <row r="14">
      <c r="A14" s="6" t="inlineStr">
        <is>
          <t>Стоимость ОПЛАТЫ холодным трафиком без прогрева</t>
        </is>
      </c>
      <c r="B14" s="13" t="n">
        <v>500</v>
      </c>
      <c r="E14" s="8" t="inlineStr">
        <is>
          <t>РАСЧЁТ: CPL 20 € ÷ конв. 4% (середина 1–7,2%) = 500 €. Внутри допустимого CAC 650–1350 € (R04), но в 7 раз дороже прогрева.</t>
        </is>
      </c>
    </row>
    <row r="15">
      <c r="A15" s="15" t="inlineStr">
        <is>
          <t>ВЫВОД ПО ЛИДУ</t>
        </is>
      </c>
      <c r="B15" s="16" t="inlineStr">
        <is>
          <t>Лид без прогрева и быстрого касания сгорает: разница 7,2% против 1% — это ×7 к стоимости оплаты. Деньги решает не цена лида, а механика после лида.</t>
        </is>
      </c>
      <c r="C15" s="17" t="n"/>
      <c r="D15" s="17" t="n"/>
      <c r="E15" s="7" t="n"/>
    </row>
    <row r="17">
      <c r="A17" s="3" t="inlineStr">
        <is>
          <t>Б. Юнит-экономика ПЛАТЯЩЕГО КЛИЕНТА (три сценария)</t>
        </is>
      </c>
    </row>
    <row r="18">
      <c r="A18" s="4" t="inlineStr">
        <is>
          <t>Показатель</t>
        </is>
      </c>
      <c r="B18" s="4" t="inlineStr">
        <is>
          <t>Пессимистично</t>
        </is>
      </c>
      <c r="C18" s="4" t="inlineStr">
        <is>
          <t>Реалистично</t>
        </is>
      </c>
      <c r="D18" s="4" t="inlineStr">
        <is>
          <t>Оптимистично</t>
        </is>
      </c>
      <c r="E18" s="4" t="inlineStr">
        <is>
          <t>Источник / статус</t>
        </is>
      </c>
    </row>
    <row r="19">
      <c r="A19" s="6" t="inlineStr">
        <is>
          <t>Оплат на тарифе Слушатель (ранний 759 €)</t>
        </is>
      </c>
      <c r="B19" s="18" t="n">
        <v>3</v>
      </c>
      <c r="C19" s="18" t="n">
        <v>4</v>
      </c>
      <c r="D19" s="18" t="n">
        <v>5</v>
      </c>
      <c r="E19" s="8" t="inlineStr">
        <is>
          <t>ПЛАН (правится). Цены — ранние, факт из файла «Тарифы».</t>
        </is>
      </c>
    </row>
    <row r="20">
      <c r="A20" s="6" t="inlineStr">
        <is>
          <t>Оплат на тарифе Участник (999 €)</t>
        </is>
      </c>
      <c r="B20" s="18" t="n">
        <v>4</v>
      </c>
      <c r="C20" s="18" t="n">
        <v>6</v>
      </c>
      <c r="D20" s="18" t="n">
        <v>8</v>
      </c>
      <c r="E20" s="8" t="inlineStr">
        <is>
          <t>ПЛАН (правится). Цены — ранние, факт из файла «Тарифы».</t>
        </is>
      </c>
    </row>
    <row r="21">
      <c r="A21" s="6" t="inlineStr">
        <is>
          <t>Оплат на тарифе Практик (1 659 €)</t>
        </is>
      </c>
      <c r="B21" s="18" t="n">
        <v>4</v>
      </c>
      <c r="C21" s="18" t="n">
        <v>8</v>
      </c>
      <c r="D21" s="18" t="n">
        <v>12</v>
      </c>
      <c r="E21" s="8" t="inlineStr">
        <is>
          <t>ПЛАН (правится). Цены — ранние, факт из файла «Тарифы».</t>
        </is>
      </c>
    </row>
    <row r="22">
      <c r="A22" s="6" t="inlineStr">
        <is>
          <t>Оплат на тарифе Профессионал (3 299 €)</t>
        </is>
      </c>
      <c r="B22" s="18" t="n">
        <v>1</v>
      </c>
      <c r="C22" s="18" t="n">
        <v>2</v>
      </c>
      <c r="D22" s="18" t="n">
        <v>3</v>
      </c>
      <c r="E22" s="8" t="inlineStr">
        <is>
          <t>ПЛАН (правится). Цены — ранние, факт из файла «Тарифы».</t>
        </is>
      </c>
    </row>
    <row r="23">
      <c r="A23" s="5" t="inlineStr">
        <is>
          <t>ИТОГО оплат</t>
        </is>
      </c>
      <c r="B23" s="19">
        <f>SUM(B19:B22)</f>
        <v/>
      </c>
      <c r="C23" s="19">
        <f>SUM(C19:C22)</f>
        <v/>
      </c>
      <c r="D23" s="19">
        <f>SUM(D19:D22)</f>
        <v/>
      </c>
      <c r="E23" s="8" t="inlineStr">
        <is>
          <t>Формула</t>
        </is>
      </c>
    </row>
    <row r="24">
      <c r="A24" s="5" t="inlineStr">
        <is>
          <t>Выручка по ранним ценам</t>
        </is>
      </c>
      <c r="B24" s="20">
        <f>759*B19+999*B20+1659*B21+3299*B22</f>
        <v/>
      </c>
      <c r="C24" s="20">
        <f>759*C19+999*C20+1659*C21+3299*C22</f>
        <v/>
      </c>
      <c r="D24" s="20">
        <f>759*D19+999*D20+1659*D21+3299*D22</f>
        <v/>
      </c>
      <c r="E24" s="8" t="inlineStr">
        <is>
          <t>Формула. Консервативно: без пост-30.09 надбавки.</t>
        </is>
      </c>
    </row>
    <row r="25">
      <c r="A25" s="6" t="inlineStr">
        <is>
          <t>Средний чек</t>
        </is>
      </c>
      <c r="B25" s="10">
        <f>IFERROR(B24/B23,0)</f>
        <v/>
      </c>
      <c r="C25" s="10">
        <f>IFERROR(C24/C23,0)</f>
        <v/>
      </c>
      <c r="D25" s="10">
        <f>IFERROR(D24/D23,0)</f>
        <v/>
      </c>
      <c r="E25" s="8" t="inlineStr">
        <is>
          <t>Формула</t>
        </is>
      </c>
    </row>
    <row r="26">
      <c r="A26" s="6" t="inlineStr">
        <is>
          <t>Рекламный бюджет сценария</t>
        </is>
      </c>
      <c r="B26" s="13" t="n">
        <v>1500</v>
      </c>
      <c r="C26" s="13" t="n">
        <v>2500</v>
      </c>
      <c r="D26" s="13" t="n">
        <v>4000</v>
      </c>
      <c r="E26" s="8" t="inlineStr">
        <is>
          <t>ПЛАН — детали на листе «8 Бюджет 3 сценария»</t>
        </is>
      </c>
    </row>
    <row r="27">
      <c r="A27" s="5" t="inlineStr">
        <is>
          <t>CAC блендед (бюджет ÷ все оплаты)</t>
        </is>
      </c>
      <c r="B27" s="20">
        <f>IFERROR(B26/B23,0)</f>
        <v/>
      </c>
      <c r="C27" s="20">
        <f>IFERROR(C26/C23,0)</f>
        <v/>
      </c>
      <c r="D27" s="20">
        <f>IFERROR(D26/D23,0)</f>
        <v/>
      </c>
      <c r="E27" s="8" t="inlineStr">
        <is>
          <t>Формула</t>
        </is>
      </c>
    </row>
    <row r="28">
      <c r="A28" s="6" t="inlineStr">
        <is>
          <t>Бюджет / выручка</t>
        </is>
      </c>
      <c r="B28" s="11">
        <f>IFERROR(B26/B24,0)</f>
        <v/>
      </c>
      <c r="C28" s="11">
        <f>IFERROR(C26/C24,0)</f>
        <v/>
      </c>
      <c r="D28" s="11">
        <f>IFERROR(D26/D24,0)</f>
        <v/>
      </c>
      <c r="E28" s="8" t="inlineStr">
        <is>
          <t>Формула. Ориентир отрасли: 10–20% выручки на маркетинг (Deloitte CMO Survey 2024 — в среднем ~10% выручки компании). Мы ниже за счёт тёплой базы.</t>
        </is>
      </c>
    </row>
    <row r="29">
      <c r="A29" s="6" t="inlineStr">
        <is>
          <t>LTV-маржа студента (несколько программ за жизнь)</t>
        </is>
      </c>
      <c r="B29" s="13" t="n">
        <v>4100</v>
      </c>
      <c r="C29" s="13" t="n">
        <v>4100</v>
      </c>
      <c r="D29" s="13" t="n">
        <v>4100</v>
      </c>
      <c r="E29" s="8" t="inlineStr">
        <is>
          <t>ОЦЕНКА R04 (unit-экономика МИГ): допустимый CAC 650–1 350 €.</t>
        </is>
      </c>
    </row>
    <row r="30">
      <c r="A30" s="5" t="inlineStr">
        <is>
          <t>LTV / CAC</t>
        </is>
      </c>
      <c r="B30" s="21">
        <f>IFERROR(B29/B26*B23,0)</f>
        <v/>
      </c>
      <c r="C30" s="21">
        <f>IFERROR(C29/C26*C23,0)</f>
        <v/>
      </c>
      <c r="D30" s="21">
        <f>IFERROR(D29/D26*D23,0)</f>
        <v/>
      </c>
      <c r="E30" s="8" t="inlineStr">
        <is>
          <t>Формула. Норма ≥3</t>
        </is>
      </c>
    </row>
    <row r="32">
      <c r="A32" s="22" t="inlineStr">
        <is>
          <t>ЧЕГО НЕ ХВАТАЕТ ДЛЯ ПОЛНОЙ ЮНИТ-ЭКОНОМИКИ</t>
        </is>
      </c>
      <c r="B32" s="23" t="inlineStr">
        <is>
          <t>Себестоимость программы (гонорары преподавателей/супервизоров, платформа) — без неё мы считаем выручку, а не прибыль. Запрошено у клиента (лист «Нужные данные», №1).</t>
        </is>
      </c>
      <c r="C32" s="17" t="n"/>
      <c r="D32" s="17" t="n"/>
      <c r="E32" s="7" t="n"/>
    </row>
    <row r="34">
      <c r="A34" s="3" t="inlineStr">
        <is>
          <t>В. CAC честно: тёплые и платные оплаты отдельно (правка совета аудиторов)</t>
        </is>
      </c>
    </row>
    <row r="35">
      <c r="A35" s="4" t="inlineStr">
        <is>
          <t>Показатель</t>
        </is>
      </c>
      <c r="B35" s="4" t="inlineStr">
        <is>
          <t>Пессимистично</t>
        </is>
      </c>
      <c r="C35" s="4" t="inlineStr">
        <is>
          <t>Реалистично</t>
        </is>
      </c>
      <c r="D35" s="4" t="inlineStr">
        <is>
          <t>Оптимистично</t>
        </is>
      </c>
      <c r="E35" s="4" t="inlineStr">
        <is>
          <t>Источник / статус</t>
        </is>
      </c>
    </row>
    <row r="36">
      <c r="A36" s="6" t="inlineStr">
        <is>
          <t>Из них оплат, пришедших С РЕКЛАМЫ (план)</t>
        </is>
      </c>
      <c r="B36" s="18" t="n">
        <v>2</v>
      </c>
      <c r="C36" s="18" t="n">
        <v>5</v>
      </c>
      <c r="D36" s="18" t="n">
        <v>9</v>
      </c>
      <c r="E36" s="8" t="inlineStr">
        <is>
          <t>ПЛАН; факт 2025 — 50/50 реклама/сарафан</t>
        </is>
      </c>
    </row>
    <row r="37">
      <c r="A37" s="5" t="inlineStr">
        <is>
          <t>CAC рекламного клиента (бюджет ÷ оплаты с рекламы)</t>
        </is>
      </c>
      <c r="B37" s="20">
        <f>IFERROR(B26/B36,0)</f>
        <v/>
      </c>
      <c r="C37" s="20">
        <f>IFERROR(C26/C36,0)</f>
        <v/>
      </c>
      <c r="D37" s="20">
        <f>IFERROR(D26/D36,0)</f>
        <v/>
      </c>
      <c r="E37" s="8" t="inlineStr">
        <is>
          <t>Формула</t>
        </is>
      </c>
    </row>
    <row r="38">
      <c r="A38" s="6" t="inlineStr">
        <is>
          <t>Контроль: CAC рекламного ≤ допустимого (1 350 €)?</t>
        </is>
      </c>
      <c r="B38" s="6">
        <f>IF(IFERROR(B26/B36,0)&lt;=1350,"да","НЕТ")</f>
        <v/>
      </c>
      <c r="C38" s="6">
        <f>IF(IFERROR(C26/C36,0)&lt;=1350,"да","НЕТ")</f>
        <v/>
      </c>
      <c r="D38" s="6">
        <f>IF(IFERROR(D26/D36,0)&lt;=1350,"да","НЕТ")</f>
        <v/>
      </c>
      <c r="E38" s="8" t="inlineStr">
        <is>
          <t>Формула-контроль</t>
        </is>
      </c>
    </row>
    <row r="40">
      <c r="A40" s="33" t="inlineStr">
        <is>
          <t>Г. СТРЕСС-ТЕСТ: «потратили много — получили мало» (вопрос владельца 17.08)</t>
        </is>
      </c>
    </row>
    <row r="41">
      <c r="A41" s="2" t="inlineStr">
        <is>
          <t>Это НЕ сценарий плана, а проверка: что будет, если stop-loss не сработает и весь оптимистичный бюджет сгорит при пессимистичном отклике.</t>
        </is>
      </c>
    </row>
    <row r="42">
      <c r="A42" s="34" t="inlineStr">
        <is>
          <t>Показатель</t>
        </is>
      </c>
      <c r="B42" s="34" t="inlineStr">
        <is>
          <t>Значение</t>
        </is>
      </c>
      <c r="C42" s="34" t="inlineStr"/>
      <c r="D42" s="34" t="inlineStr"/>
      <c r="E42" s="34" t="inlineStr">
        <is>
          <t>Что это означает</t>
        </is>
      </c>
    </row>
    <row r="43">
      <c r="A43" s="35" t="inlineStr">
        <is>
          <t>Потрачено (весь оптимистичный бюджет)</t>
        </is>
      </c>
      <c r="B43" s="36" t="n">
        <v>4000</v>
      </c>
      <c r="E43" s="2" t="inlineStr">
        <is>
          <t>Ввод: худший случай трат</t>
        </is>
      </c>
    </row>
    <row r="44">
      <c r="A44" s="35" t="inlineStr">
        <is>
          <t>Оплат получено (пессимистичный отклик)</t>
        </is>
      </c>
      <c r="B44" s="37" t="n">
        <v>12</v>
      </c>
      <c r="E44" s="2" t="inlineStr">
        <is>
          <t>Ввод: худший случай результата</t>
        </is>
      </c>
    </row>
    <row r="45">
      <c r="A45" s="35" t="inlineStr">
        <is>
          <t>Из них с рекламы</t>
        </is>
      </c>
      <c r="B45" s="37" t="n">
        <v>2</v>
      </c>
      <c r="E45" s="2" t="inlineStr">
        <is>
          <t>Ввод: тёплые пулы дали остальное</t>
        </is>
      </c>
    </row>
    <row r="46">
      <c r="A46" s="38" t="inlineStr">
        <is>
          <t>CAC блендед в стресс-тесте</t>
        </is>
      </c>
      <c r="B46" s="39">
        <f>B43/B44</f>
        <v/>
      </c>
      <c r="E46" s="2" t="inlineStr">
        <is>
          <t>333 € — больно, но выручка 16 200 € всё равно покрывает бюджет с запасом ×4</t>
        </is>
      </c>
    </row>
    <row r="47">
      <c r="A47" s="38" t="inlineStr">
        <is>
          <t>CAC рекламного клиента в стресс-тесте</t>
        </is>
      </c>
      <c r="B47" s="40">
        <f>B43/B45</f>
        <v/>
      </c>
      <c r="E47" s="2" t="inlineStr">
        <is>
          <t>2 000 € — ВЫШЕ допустимого CAC 1 350 € (R04). Именно от этого защищают stop-loss и еженедельная сверка: деньги останавливаются ДО того, как дойдут до этой точки</t>
        </is>
      </c>
    </row>
    <row r="49">
      <c r="A49" s="41" t="inlineStr">
        <is>
          <t>Защита от стресс-теста (почему он не должен случиться): 1) резерв 500-750 € заморожен до замера 30.09; 2) канал не тратит &gt;150 € без лида и &gt;400 € без заявки; 3) холодный Meta стартует только ПОСЛЕ аудита фрода; 4) еженедельная сверка CAC — деньги перекладываются каждые 7 дней, а не в конце.</t>
        </is>
      </c>
    </row>
  </sheetData>
  <mergeCells count="3">
    <mergeCell ref="A49:E49"/>
    <mergeCell ref="B15:E15"/>
    <mergeCell ref="B32:E3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30" customWidth="1" min="3" max="3"/>
    <col width="22" customWidth="1" min="4" max="4"/>
    <col width="26" customWidth="1" min="5" max="5"/>
  </cols>
  <sheetData>
    <row r="1">
      <c r="A1" s="1" t="inlineStr">
        <is>
          <t>Маркетинг-план набора до 04.11 (стратегия)</t>
        </is>
      </c>
    </row>
    <row r="2">
      <c r="A2" s="2" t="inlineStr">
        <is>
          <t>Главный принцип: окно 79 дней короче цикла сделки 106 дней → набор делают ТЁПЛЫЕ пулы и вебинары; холодный трафик — инвестиция в следующий поток.</t>
        </is>
      </c>
    </row>
    <row r="4">
      <c r="A4" s="4" t="inlineStr">
        <is>
          <t>Этап</t>
        </is>
      </c>
      <c r="B4" s="4" t="inlineStr">
        <is>
          <t>Что делаем</t>
        </is>
      </c>
      <c r="C4" s="4" t="inlineStr">
        <is>
          <t>Зачем (на чём основано)</t>
        </is>
      </c>
      <c r="D4" s="4" t="inlineStr">
        <is>
          <t>Кто</t>
        </is>
      </c>
      <c r="E4" s="4" t="inlineStr">
        <is>
          <t>Срок</t>
        </is>
      </c>
    </row>
    <row r="5">
      <c r="A5" s="5" t="inlineStr">
        <is>
          <t>1. Фундамент</t>
        </is>
      </c>
      <c r="B5" s="6" t="inlineStr">
        <is>
          <t>Выгрузка пулов из AlfaCRM (95 лидов, отвалившиеся, email-база, выпускники) с размерами; UTM-разметка всех ссылок; доступ к Meta-кабинету; аудит фрода июльской кампании</t>
        </is>
      </c>
      <c r="C5" s="6" t="inlineStr">
        <is>
          <t>Без размеров пулов план — допущение. Без UTM не проверить, какой канал приводит оплаты (вердикт совета)</t>
        </is>
      </c>
      <c r="D5" s="6" t="inlineStr">
        <is>
          <t>Валя + Тина</t>
        </is>
      </c>
      <c r="E5" s="6" t="inlineStr">
        <is>
          <t>до 22.08</t>
        </is>
      </c>
    </row>
    <row r="6">
      <c r="A6" s="5" t="inlineStr">
        <is>
          <t>2. Тёплые пулы</t>
        </is>
      </c>
      <c r="B6" s="6" t="inlineStr">
        <is>
          <t>Реактивация 53 поимённых контактов (41 отвал + 12 недошедших) — WhatsApp с личного номера, 3 касания («старт перенесён на 04.12 + рассрочка от 69 €/мес»); письмо 56 выпускникам: «что починили» → статус выпускника → «назови 1 коллегу». Игнор-лиды июля СНЯТЫ (Молдова/Болгария, 0 из РФ) — только тест 10 контактов</t>
        </is>
      </c>
      <c r="C6" s="6" t="inlineStr">
        <is>
          <t>Самые дешёвые оплаты. Факт 2025: 50% студентов — не с рекламы. 34 из 41 отвала — март–май: им сейчас ровно цикл сделки, самое время вернуться</t>
        </is>
      </c>
      <c r="D6" s="6" t="inlineStr">
        <is>
          <t>Валя + менеджеры</t>
        </is>
      </c>
      <c r="E6" s="6" t="inlineStr">
        <is>
          <t>W01–W04</t>
        </is>
      </c>
    </row>
    <row r="7">
      <c r="A7" s="5" t="inlineStr">
        <is>
          <t>3. События</t>
        </is>
      </c>
      <c r="B7" s="6" t="inlineStr">
        <is>
          <t>ДОД 25.08 (нагнать до 90–140 рег.) → 3 живых вебинара (сент–окт, темы: телесность/сексуальность/клиника — факт: дают 100+ рег.) → автовебинар с октября</t>
        </is>
      </c>
      <c r="C7" s="6" t="inlineStr">
        <is>
          <t>Механика 2025: 7 промо-вебинаров дали конверсию 7,2% против 1% без прогрева — ×7 к эффективности</t>
        </is>
      </c>
      <c r="D7" s="6" t="inlineStr">
        <is>
          <t>Тина + ведущие</t>
        </is>
      </c>
      <c r="E7" s="6" t="inlineStr">
        <is>
          <t>W02–W10</t>
        </is>
      </c>
    </row>
    <row r="8">
      <c r="A8" s="5" t="inlineStr">
        <is>
          <t>4. Платный трафик</t>
        </is>
      </c>
      <c r="B8" s="6" t="inlineStr">
        <is>
          <t>Ретаргет Meta (пиксель + база) → посевы TG (каналы по протоколу R06) → Яндекс брендовый (защита от МИГиП/МГИ) → Meta холод с антифрод-фильтрами (лендинг, не лид-формы)</t>
        </is>
      </c>
      <c r="C8" s="6" t="inlineStr">
        <is>
          <t>Приоритет по вероятности оплаты на 1 €. Холод помечен «вклад в следующий поток» — его лиды в среднем не успевают пройти цикл 106 дней до 04.11</t>
        </is>
      </c>
      <c r="D8" s="6" t="inlineStr">
        <is>
          <t>Тина</t>
        </is>
      </c>
      <c r="E8" s="6" t="inlineStr">
        <is>
          <t>W03–W11</t>
        </is>
      </c>
    </row>
    <row r="9">
      <c r="A9" s="5" t="inlineStr">
        <is>
          <t>5. Дедлайны</t>
        </is>
      </c>
      <c r="B9" s="6" t="inlineStr">
        <is>
          <t>Пуш ранней цены (3 письма: за 3 дня/за сутки/в день 30.09); вторая ступень цены 01.11 (запросить у клиента!); финальный дожим W11–W12</t>
        </is>
      </c>
      <c r="C9" s="6" t="inlineStr">
        <is>
          <t>После 30.09 остаётся 5 недель без единого дедлайна — провал мотивации. Дедлайн — главный ускоритель цикла</t>
        </is>
      </c>
      <c r="D9" s="6" t="inlineStr">
        <is>
          <t>Тина + Валя</t>
        </is>
      </c>
      <c r="E9" s="6" t="inlineStr">
        <is>
          <t>28.09–04.11</t>
        </is>
      </c>
    </row>
    <row r="10">
      <c r="A10" s="5" t="inlineStr">
        <is>
          <t>6. Хвост</t>
        </is>
      </c>
      <c r="B10" s="6" t="inlineStr">
        <is>
          <t>Waitlist для «не успел решиться» и «не подходит по датам» → добор до 04.12 (если разрешат) → передача тёплых остатков в следующий набор</t>
        </is>
      </c>
      <c r="C10" s="6" t="inlineStr">
        <is>
          <t>Лид с циклом 106 дней, пришедший в сентябре, дозревает в ноябре. Терять его — выбрасывать деньги</t>
        </is>
      </c>
      <c r="D10" s="6" t="inlineStr">
        <is>
          <t>Валя</t>
        </is>
      </c>
      <c r="E10" s="6" t="inlineStr">
        <is>
          <t>W12+</t>
        </is>
      </c>
    </row>
    <row r="11">
      <c r="A11" s="5" t="inlineStr">
        <is>
          <t>7. Позиционирование</t>
        </is>
      </c>
      <c r="B11" s="6" t="inlineStr">
        <is>
          <t>Кампания строится вокруг «как программа ложится в ваш год» (расписание, нагрузка в неделю, совместимость с практикой), НЕ вокруг цены и рассрочки</t>
        </is>
      </c>
      <c r="C11" s="6" t="inlineStr">
        <is>
          <t>Факт от Вали: «дорого» почти не возражают; реальные причины отказа — график, даты, зачёт часов. Продаём совместимость с жизнью</t>
        </is>
      </c>
      <c r="D11" s="6" t="inlineStr">
        <is>
          <t>все тексты</t>
        </is>
      </c>
      <c r="E11" s="6" t="inlineStr">
        <is>
          <t>постоянно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40" customWidth="1" min="6" max="6"/>
  </cols>
  <sheetData>
    <row r="1">
      <c r="A1" s="1" t="inlineStr">
        <is>
          <t>План продаж для отдела Вали (2 менеджера + РОП)</t>
        </is>
      </c>
    </row>
    <row r="2">
      <c r="A2" s="2" t="inlineStr">
        <is>
          <t>Нормативы конверсий — по вердикту совета продаж: консервативные, ниже исторического максимума. План строится от цели назад.</t>
        </is>
      </c>
    </row>
    <row r="4">
      <c r="A4" s="3" t="inlineStr">
        <is>
          <t>А. Воронка по пулам (реалистичный сценарий)</t>
        </is>
      </c>
    </row>
    <row r="5">
      <c r="A5" s="4" t="inlineStr">
        <is>
          <t>Пул</t>
        </is>
      </c>
      <c r="B5" s="4" t="inlineStr">
        <is>
          <t>Контактов</t>
        </is>
      </c>
      <c r="C5" s="4" t="inlineStr">
        <is>
          <t>% ответа</t>
        </is>
      </c>
      <c r="D5" s="4" t="inlineStr">
        <is>
          <t>Заявок на интервью</t>
        </is>
      </c>
      <c r="E5" s="4" t="inlineStr">
        <is>
          <t>Оплат</t>
        </is>
      </c>
      <c r="F5" s="4" t="inlineStr">
        <is>
          <t>Комментарий</t>
        </is>
      </c>
    </row>
    <row r="6">
      <c r="A6" s="5" t="inlineStr">
        <is>
          <t>Реактивация: отвал (поимённо, факт 17.08)</t>
        </is>
      </c>
      <c r="B6" s="18" t="n">
        <v>41</v>
      </c>
      <c r="C6" s="14" t="n">
        <v>0.3</v>
      </c>
      <c r="D6" s="18" t="n">
        <v>6</v>
      </c>
      <c r="E6" s="18" t="n">
        <v>3</v>
      </c>
      <c r="F6" s="8" t="inlineStr">
        <is>
          <t>ФАКТ: 34 из 41 — отвал марта–мая, им сейчас ровно цикл сделки. WhatsApp с личного номера, 3 касания: «изменились две вещи — старт 04.12 и рассрочка от 69 €/мес».</t>
        </is>
      </c>
    </row>
    <row r="7">
      <c r="A7" s="5" t="inlineStr">
        <is>
          <t>Реактивация: недошедшие до старта</t>
        </is>
      </c>
      <c r="B7" s="18" t="n">
        <v>12</v>
      </c>
      <c r="C7" s="14" t="n">
        <v>0.35</v>
      </c>
      <c r="D7" s="18" t="n">
        <v>2</v>
      </c>
      <c r="E7" s="18" t="n">
        <v>1</v>
      </c>
      <c r="F7" s="8" t="inlineStr">
        <is>
          <t>ФАКТ поимённо, 11 из 12 в WhatsApp. Дошли до списков групп и не стартовали — новости о переносе и рассрочке бьют в их причину отказа.</t>
        </is>
      </c>
    </row>
    <row r="8">
      <c r="A8" s="5" t="inlineStr">
        <is>
          <t>56 выпускников трёх потоков</t>
        </is>
      </c>
      <c r="B8" s="18" t="n">
        <v>56</v>
      </c>
      <c r="C8" s="14" t="n">
        <v>0.45</v>
      </c>
      <c r="D8" s="18" t="n">
        <v>8</v>
      </c>
      <c r="E8" s="18" t="n">
        <v>4</v>
      </c>
      <c r="F8" s="8" t="inlineStr">
        <is>
          <t>Письмо №1 «что починили», №2 статус выпускника, №3 «назови коллегу». В контакт-листе 68: WhatsApp 47 / Telegram 20.</t>
        </is>
      </c>
    </row>
    <row r="9">
      <c r="A9" s="5" t="inlineStr">
        <is>
          <t>Email-база «9 лекций» и рассылки</t>
        </is>
      </c>
      <c r="B9" s="18" t="n">
        <v>300</v>
      </c>
      <c r="C9" s="14" t="n">
        <v>0.1</v>
      </c>
      <c r="D9" s="18" t="n">
        <v>5</v>
      </c>
      <c r="E9" s="18" t="n">
        <v>2</v>
      </c>
      <c r="F9" s="8" t="inlineStr">
        <is>
          <t>РАЗМЕР — ДОПУЩЕНИЕ, единственный неизвестный пул (запрос у Вали до 20.08). Цепочка на вебинары + починить бесшовный доступ.</t>
        </is>
      </c>
    </row>
    <row r="10">
      <c r="A10" s="5" t="inlineStr">
        <is>
          <t>ДОД 25.08 + 3 вебинара (регистранты)</t>
        </is>
      </c>
      <c r="B10" s="18" t="n">
        <v>340</v>
      </c>
      <c r="C10" s="14" t="n">
        <v>0.35</v>
      </c>
      <c r="D10" s="18" t="n">
        <v>30</v>
      </c>
      <c r="E10" s="18" t="n">
        <v>9</v>
      </c>
      <c r="F10" s="8" t="inlineStr">
        <is>
          <t>Доходимость до эфира 35% (с напоминаниями за 24 ч и 2 ч; без них 20%). Обработка заявок ≤1 часа.</t>
        </is>
      </c>
    </row>
    <row r="11">
      <c r="A11" s="5" t="inlineStr">
        <is>
          <t>Игнор-лиды июля — СНЯТЫ (было 3 оплаты в плане)</t>
        </is>
      </c>
      <c r="B11" s="18" t="n">
        <v>96</v>
      </c>
      <c r="C11" s="14" t="n">
        <v>0</v>
      </c>
      <c r="D11" s="18" t="n">
        <v>0</v>
      </c>
      <c r="E11" s="18" t="n">
        <v>1</v>
      </c>
      <c r="F11" s="8" t="inlineStr">
        <is>
          <t>ФАКТ 17.08: Молдова 58% / Болгария 13%, НОЛЬ из России (Meta не показывает в РФ), 100% без ответа за 19 дней. Оставлен тест на 10 контактах, ожидание 0–1.</t>
        </is>
      </c>
    </row>
    <row r="12">
      <c r="A12" s="24" t="inlineStr">
        <is>
          <t>ИТОГО (реалистичный)</t>
        </is>
      </c>
      <c r="B12" s="25">
        <f>SUM(B6:B11)</f>
        <v/>
      </c>
      <c r="D12" s="25">
        <f>SUM(D6:D11)</f>
        <v/>
      </c>
      <c r="E12" s="25">
        <f>SUM(E6:E11)</f>
        <v/>
      </c>
      <c r="F12" s="26" t="inlineStr">
        <is>
          <t>Оплаты сходятся с реалистичным сценарием юнит-экономики (20)</t>
        </is>
      </c>
    </row>
    <row r="14">
      <c r="A14" s="3" t="inlineStr">
        <is>
          <t>Б. Проверка нагрузки (вердикт совета: 20–30 касаний/день на менеджера)</t>
        </is>
      </c>
    </row>
    <row r="15">
      <c r="A15" s="4" t="inlineStr">
        <is>
          <t>Показатель</t>
        </is>
      </c>
      <c r="B15" s="4" t="inlineStr">
        <is>
          <t>Значение</t>
        </is>
      </c>
      <c r="C15" s="4" t="inlineStr"/>
      <c r="D15" s="4" t="inlineStr"/>
      <c r="E15" s="4" t="inlineStr"/>
      <c r="F15" s="4" t="inlineStr">
        <is>
          <t>Комментарий</t>
        </is>
      </c>
    </row>
    <row r="16">
      <c r="A16" s="6" t="inlineStr">
        <is>
          <t>Контактов во всех пулах</t>
        </is>
      </c>
      <c r="B16" s="9">
        <f>SUM(B6:B11)</f>
        <v/>
      </c>
      <c r="F16" s="8" t="inlineStr">
        <is>
          <t>Формула</t>
        </is>
      </c>
    </row>
    <row r="17">
      <c r="A17" s="6" t="inlineStr">
        <is>
          <t>Касаний всего (×2,2 на контакт)</t>
        </is>
      </c>
      <c r="B17" s="9">
        <f>B16*2.2</f>
        <v/>
      </c>
      <c r="F17" s="8" t="inlineStr">
        <is>
          <t>Первое касание + напоминание + дожим</t>
        </is>
      </c>
    </row>
    <row r="18">
      <c r="A18" s="6" t="inlineStr">
        <is>
          <t>Рабочих дней до 04.11</t>
        </is>
      </c>
      <c r="B18" s="18" t="n">
        <v>56</v>
      </c>
      <c r="F18" s="8" t="inlineStr">
        <is>
          <t>79 календарных дней ≈ 56 рабочих</t>
        </is>
      </c>
    </row>
    <row r="19">
      <c r="A19" s="5" t="inlineStr">
        <is>
          <t>Касаний в день на отдел</t>
        </is>
      </c>
      <c r="B19" s="27">
        <f>B17/B18</f>
        <v/>
      </c>
      <c r="F19" s="8" t="inlineStr">
        <is>
          <t>Норматив совета: 20–30/день на менеджера = до 60 на двоих. Если выше — нужен обзвонщик (запрошен у клиента)</t>
        </is>
      </c>
    </row>
    <row r="21">
      <c r="A21" s="3" t="inlineStr">
        <is>
          <t>В. Недельные цели по оплатам (кумулятивно)</t>
        </is>
      </c>
    </row>
    <row r="22">
      <c r="A22" s="4" t="inlineStr">
        <is>
          <t>Контрольная точка</t>
        </is>
      </c>
      <c r="B22" s="4" t="inlineStr">
        <is>
          <t>Пессимистично</t>
        </is>
      </c>
      <c r="C22" s="4" t="inlineStr">
        <is>
          <t>Реалистично</t>
        </is>
      </c>
      <c r="D22" s="4" t="inlineStr">
        <is>
          <t>Оптимистично</t>
        </is>
      </c>
      <c r="E22" s="4" t="inlineStr"/>
      <c r="F22" s="4" t="inlineStr">
        <is>
          <t>Что делает контрольная точка</t>
        </is>
      </c>
    </row>
    <row r="23">
      <c r="A23" s="5" t="inlineStr">
        <is>
          <t>30.09 — закрытие ранней цены</t>
        </is>
      </c>
      <c r="B23" s="18" t="n">
        <v>5</v>
      </c>
      <c r="C23" s="18" t="n">
        <v>8</v>
      </c>
      <c r="D23" s="18" t="n">
        <v>12</v>
      </c>
      <c r="F23" s="8" t="inlineStr">
        <is>
          <t>Первый большой дедлайн. Если факт &lt; половины цели — пересбор плана, совет с владельцем.</t>
        </is>
      </c>
    </row>
    <row r="24">
      <c r="A24" s="5" t="inlineStr">
        <is>
          <t>25.10 — после вебинара №3</t>
        </is>
      </c>
      <c r="B24" s="18" t="n">
        <v>9</v>
      </c>
      <c r="C24" s="18" t="n">
        <v>15</v>
      </c>
      <c r="D24" s="18" t="n">
        <v>22</v>
      </c>
      <c r="F24" s="8" t="inlineStr">
        <is>
          <t>Второй замер. Решение об интенсивности финального дожима.</t>
        </is>
      </c>
    </row>
    <row r="25">
      <c r="A25" s="5" t="inlineStr">
        <is>
          <t>04.11 — дедлайн набора</t>
        </is>
      </c>
      <c r="B25" s="18" t="n">
        <v>12</v>
      </c>
      <c r="C25" s="18" t="n">
        <v>20</v>
      </c>
      <c r="D25" s="18" t="n">
        <v>28</v>
      </c>
      <c r="F25" s="8" t="inlineStr">
        <is>
          <t>Минимум клиента: 20. Пессимист НЕ дотягивает — тогда добор до 04.12 (нужно решение клиента заранее!).</t>
        </is>
      </c>
    </row>
    <row r="27">
      <c r="A27" s="3" t="inlineStr">
        <is>
          <t>Г. Правила работы (вердикт совета продаж)</t>
        </is>
      </c>
    </row>
    <row r="28">
      <c r="A28" s="6" t="inlineStr">
        <is>
          <t>• SLA первого касания: ≤1 часа для горячих (вебинары, ДОД, сайт), ≤4 часов для реанимации. Это KPI, а не пожелание.</t>
        </is>
      </c>
      <c r="B28" s="17" t="n"/>
      <c r="C28" s="17" t="n"/>
      <c r="D28" s="17" t="n"/>
      <c r="E28" s="17" t="n"/>
      <c r="F28" s="7" t="n"/>
    </row>
    <row r="29">
      <c r="A29" s="6" t="inlineStr">
        <is>
          <t>• Квал-вопрос про даты и график ДО записи на интервью + расписание модулей в первом касании — главная причина отказов отсеивается на входе, слоты интервью не сгорают.</t>
        </is>
      </c>
      <c r="B29" s="17" t="n"/>
      <c r="C29" s="17" t="n"/>
      <c r="D29" s="17" t="n"/>
      <c r="E29" s="17" t="n"/>
      <c r="F29" s="7" t="n"/>
    </row>
    <row r="30">
      <c r="A30" s="6" t="inlineStr">
        <is>
          <t>• Политика зачёта часов МГИ — письменно (да/нет/частично). Запросить у методолога.</t>
        </is>
      </c>
      <c r="B30" s="17" t="n"/>
      <c r="C30" s="17" t="n"/>
      <c r="D30" s="17" t="n"/>
      <c r="E30" s="17" t="n"/>
      <c r="F30" s="7" t="n"/>
    </row>
    <row r="31">
      <c r="A31" s="6" t="inlineStr">
        <is>
          <t>• Не подходит по датам → лист ожидания следующего потока (это будущая выручка, не отказ).</t>
        </is>
      </c>
      <c r="B31" s="17" t="n"/>
      <c r="C31" s="17" t="n"/>
      <c r="D31" s="17" t="n"/>
      <c r="E31" s="17" t="n"/>
      <c r="F31" s="7" t="n"/>
    </row>
    <row r="32">
      <c r="A32" s="6" t="inlineStr">
        <is>
          <t>• Напоминания об интервью: за 24 ч и за 2 ч (голосовое/сообщение) — иначе доходимость падает с 70% к 50%.</t>
        </is>
      </c>
      <c r="B32" s="17" t="n"/>
      <c r="C32" s="17" t="n"/>
      <c r="D32" s="17" t="n"/>
      <c r="E32" s="17" t="n"/>
      <c r="F32" s="7" t="n"/>
    </row>
    <row r="33">
      <c r="A33" s="6" t="inlineStr">
        <is>
          <t>• После 3-го касания без ответа — пауза до следующего события (вебинар/дедлайн), не спамить.</t>
        </is>
      </c>
      <c r="B33" s="17" t="n"/>
      <c r="C33" s="17" t="n"/>
      <c r="D33" s="17" t="n"/>
      <c r="E33" s="17" t="n"/>
      <c r="F33" s="7" t="n"/>
    </row>
    <row r="34">
      <c r="A34" s="6" t="inlineStr">
        <is>
          <t>• KPI менеджера: оплаты + соблюдение SLA + доходимость до интервью. Мотивация: повышенный % за «Практик», бонус-спиф за 20-ю оплату потока (взятие рекорда).</t>
        </is>
      </c>
      <c r="B34" s="17" t="n"/>
      <c r="C34" s="17" t="n"/>
      <c r="D34" s="17" t="n"/>
      <c r="E34" s="17" t="n"/>
      <c r="F34" s="7" t="n"/>
    </row>
  </sheetData>
  <mergeCells count="7">
    <mergeCell ref="A33:F33"/>
    <mergeCell ref="A28:F28"/>
    <mergeCell ref="A32:F32"/>
    <mergeCell ref="A31:F31"/>
    <mergeCell ref="A34:F34"/>
    <mergeCell ref="A30:F30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 outlineLevelCol="0"/>
  <cols>
    <col width="34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Что стоит привлечь 20 / 40 / 60 оплативших</t>
        </is>
      </c>
    </row>
    <row r="2">
      <c r="A2" s="2" t="inlineStr">
        <is>
          <t>Честно: 20 — план этого окна. 40 — только с добором до 04.12 и доп. бюджетом. 60 — не достижимо в это окно (расчёт ниже), планировать на поток-2027.</t>
        </is>
      </c>
    </row>
    <row r="4">
      <c r="A4" s="4" t="inlineStr">
        <is>
          <t>Показатель</t>
        </is>
      </c>
      <c r="B4" s="4" t="inlineStr">
        <is>
          <t>Пессимистично</t>
        </is>
      </c>
      <c r="C4" s="4" t="inlineStr">
        <is>
          <t>Реалистично</t>
        </is>
      </c>
      <c r="D4" s="4" t="inlineStr">
        <is>
          <t>Оптимистично</t>
        </is>
      </c>
      <c r="E4" s="4" t="inlineStr"/>
    </row>
    <row r="5">
      <c r="A5" s="5" t="inlineStr">
        <is>
          <t>Оплат к 04.11 (из юнит-экономики)</t>
        </is>
      </c>
      <c r="B5" s="19">
        <f>'1 Юнит-экономика'!B23</f>
        <v/>
      </c>
      <c r="C5" s="19">
        <f>'1 Юнит-экономика'!C23</f>
        <v/>
      </c>
      <c r="D5" s="19">
        <f>'1 Юнит-экономика'!D23</f>
        <v/>
      </c>
      <c r="E5" s="8" t="inlineStr">
        <is>
          <t>Ссылка на лист 1</t>
        </is>
      </c>
    </row>
    <row r="7">
      <c r="A7" s="4" t="inlineStr">
        <is>
          <t>Цель</t>
        </is>
      </c>
      <c r="B7" s="4" t="inlineStr">
        <is>
          <t>Откуда клиенты</t>
        </is>
      </c>
      <c r="C7" s="4" t="inlineStr">
        <is>
          <t>Бюджет</t>
        </is>
      </c>
      <c r="D7" s="4" t="inlineStr">
        <is>
          <t>Срок</t>
        </is>
      </c>
      <c r="E7" s="4" t="inlineStr">
        <is>
          <t>Условия успеха / честные оговорки</t>
        </is>
      </c>
    </row>
    <row r="8">
      <c r="A8" s="5" t="inlineStr">
        <is>
          <t>20 оплат (минимум клиента)</t>
        </is>
      </c>
      <c r="B8" s="6" t="inlineStr">
        <is>
          <t>Тёплые пулы 11 (95 лидов→3, выпускники→4, отвалившиеся→2, email→2) + вебинары и ДОД→9</t>
        </is>
      </c>
      <c r="C8" s="6" t="inlineStr">
        <is>
          <t>2 500 €</t>
        </is>
      </c>
      <c r="D8" s="6" t="inlineStr">
        <is>
          <t>к 04.11</t>
        </is>
      </c>
      <c r="E8" s="6" t="inlineStr">
        <is>
          <t>Достижимо по нормативам совета. Ключевые условия: выгрузка пулов до 22.08, реанимация с W01, 3 вебинара проведены, SLA касания соблюдается. Риск: пулы меньше допущенных размеров.</t>
        </is>
      </c>
    </row>
    <row r="9">
      <c r="A9" s="5" t="inlineStr">
        <is>
          <t>40 оплат</t>
        </is>
      </c>
      <c r="B9" s="6" t="inlineStr">
        <is>
          <t>20 базовых + 8–10 из waitlist и дозревших лидов вебинаров + 10–12 полухолодных (посевы, ретаргет, добор)</t>
        </is>
      </c>
      <c r="C9" s="6" t="inlineStr">
        <is>
          <t>8 500–9 000 € суммарно</t>
        </is>
      </c>
      <c r="D9" s="6" t="inlineStr">
        <is>
          <t>к 04.12 (добор)</t>
        </is>
      </c>
      <c r="E9" s="6" t="inlineStr">
        <is>
          <t>НЕВОЗМОЖНО к 04.11 (окно короче цикла). Требует: (1) решение клиента о доборе до 04.12; (2) вторая ступень цены 01.11; (3) человек на обзвон; (4) доп. бюджет ~6 000 € на полухолодные по CAC ~500 €; (5) вебинары ×2 регистраций (промо в Meta).</t>
        </is>
      </c>
    </row>
    <row r="10">
      <c r="A10" s="5" t="inlineStr">
        <is>
          <t>60 оплат (потолок зала)</t>
        </is>
      </c>
      <c r="B10" s="6" t="inlineStr">
        <is>
          <t>Обратный расчёт от 60: при конверсиях совета нужно ~2 600 тёплых контактов — у нас ~840. База должна вырасти в 3 раза</t>
        </is>
      </c>
      <c r="C10" s="6" t="inlineStr">
        <is>
          <t>15 000–25 000 €</t>
        </is>
      </c>
      <c r="D10" s="6" t="inlineStr">
        <is>
          <t>6–9 месяцев прогрева</t>
        </is>
      </c>
      <c r="E10" s="6" t="inlineStr">
        <is>
          <t>В это окно НЕ достижимо: 60 = 3× исторический рекорд (21). Что должно стать правдой: база email 3 000+, автовебинар работает 6+ мес, 3–4 менеджера, бюджет 15–25 тыс. €, старт кампании за 2 цикла сделки (7 месяцев) до дедлайна. Реалистичная цель — поток осень-2027.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18" customWidth="1" min="3" max="3"/>
    <col width="18" customWidth="1" min="4" max="4"/>
    <col width="46" customWidth="1" min="5" max="5"/>
  </cols>
  <sheetData>
    <row r="1">
      <c r="A1" s="1" t="inlineStr">
        <is>
          <t>Стоимость привлечения ОДНОГО клиента — три сценария</t>
        </is>
      </c>
    </row>
    <row r="3">
      <c r="A3" s="4" t="inlineStr">
        <is>
          <t>Сценарий</t>
        </is>
      </c>
      <c r="B3" s="4" t="inlineStr">
        <is>
          <t>CAC</t>
        </is>
      </c>
      <c r="C3" s="4" t="inlineStr">
        <is>
          <t>Механика</t>
        </is>
      </c>
      <c r="D3" s="4" t="inlineStr">
        <is>
          <t>Вероятность</t>
        </is>
      </c>
      <c r="E3" s="4" t="inlineStr">
        <is>
          <t>На чём основано</t>
        </is>
      </c>
    </row>
    <row r="4">
      <c r="A4" s="5" t="inlineStr">
        <is>
          <t>Оптимистично</t>
        </is>
      </c>
      <c r="B4" s="5" t="inlineStr">
        <is>
          <t>72–95 €</t>
        </is>
      </c>
      <c r="C4" s="6" t="inlineStr">
        <is>
          <t>Полное воспроизведение механики 2025: вебинары-прогрев + тёплая база + быстрая обработка</t>
        </is>
      </c>
      <c r="D4" s="6" t="inlineStr">
        <is>
          <t>Возможно при идеальном исполнении</t>
        </is>
      </c>
      <c r="E4" s="6" t="inlineStr">
        <is>
          <t>ФАКТ 2025: CAC 72,3 € (723 € ÷ 10 студентов). Совет: не гарантировано в сжатом окне 79 дней — 2025 набирался 7 месяцев.</t>
        </is>
      </c>
    </row>
    <row r="5">
      <c r="A5" s="5" t="inlineStr">
        <is>
          <t>Реалистично</t>
        </is>
      </c>
      <c r="B5" s="5" t="inlineStr">
        <is>
          <t>125–250 €</t>
        </is>
      </c>
      <c r="C5" s="6" t="inlineStr">
        <is>
          <t>Блендед: большинство оплат из тёплых пулов + платное усиление (ретаргет, посевы, промо вебинаров)</t>
        </is>
      </c>
      <c r="D5" s="6" t="inlineStr">
        <is>
          <t>Базовый план</t>
        </is>
      </c>
      <c r="E5" s="6" t="inlineStr">
        <is>
          <t>Расчёт: бюджет 2 500 € ÷ 20 оплат = 125 € блендед; чисто рекламный клиент 500 € (лист 1, раздел В). Вердикт совета аудиторов: 150–250 € — честный ориентир.</t>
        </is>
      </c>
    </row>
    <row r="6">
      <c r="A6" s="5" t="inlineStr">
        <is>
          <t>Пессимистично</t>
        </is>
      </c>
      <c r="B6" s="5" t="inlineStr">
        <is>
          <t>500–530 €</t>
        </is>
      </c>
      <c r="C6" s="6" t="inlineStr">
        <is>
          <t>Тёплые пулы не сработали (размеры меньше), тянем холодным трафиком без прогрева</t>
        </is>
      </c>
      <c r="D6" s="6" t="inlineStr">
        <is>
          <t>Guardrail для бюджета</t>
        </is>
      </c>
      <c r="E6" s="6" t="inlineStr">
        <is>
          <t>Расчёт: CPL 20 € ÷ конверсия 4% = 500 €. Внутри допустимого CAC 650–1 350 € (R04) — не убыточно, но в 7 раз дороже прогрева. Совет: закладывать как ориентир максимального бюджета, а не как экзотику.</t>
        </is>
      </c>
    </row>
    <row r="8">
      <c r="A8" s="15" t="inlineStr">
        <is>
          <t>Правило: если фактический CAC к 30.09 выше 400 € — стоп платному холоду, весь бюджет в тёплые механики и вебинары.</t>
        </is>
      </c>
      <c r="B8" s="17" t="n"/>
      <c r="C8" s="17" t="n"/>
      <c r="D8" s="17" t="n"/>
      <c r="E8" s="7" t="n"/>
    </row>
  </sheetData>
  <mergeCells count="1"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 outlineLevelCol="0"/>
  <cols>
    <col width="9" customWidth="1" min="1" max="1"/>
    <col width="13" customWidth="1" min="2" max="2"/>
    <col width="34" customWidth="1" min="3" max="3"/>
    <col width="26" customWidth="1" min="4" max="4"/>
    <col width="13" customWidth="1" min="5" max="5"/>
    <col width="40" customWidth="1" min="6" max="6"/>
  </cols>
  <sheetData>
    <row r="1">
      <c r="A1" s="1" t="inlineStr">
        <is>
          <t>План-график рекламы до старта 04.12 (какая реклама, где, сколько раз)</t>
        </is>
      </c>
    </row>
    <row r="2">
      <c r="A2" s="2" t="inlineStr">
        <is>
          <t>Реалистичный сценарий, бюджет 2 500 €. Каждая строка — неделя. Даты дедлайнов — факты клиента.</t>
        </is>
      </c>
    </row>
    <row r="4">
      <c r="A4" s="4" t="inlineStr">
        <is>
          <t>Неделя</t>
        </is>
      </c>
      <c r="B4" s="4" t="inlineStr">
        <is>
          <t>Даты</t>
        </is>
      </c>
      <c r="C4" s="4" t="inlineStr">
        <is>
          <t>Реклама и действия</t>
        </is>
      </c>
      <c r="D4" s="4" t="inlineStr">
        <is>
          <t>Каналы</t>
        </is>
      </c>
      <c r="E4" s="4" t="inlineStr">
        <is>
          <t>Бюджет</t>
        </is>
      </c>
      <c r="F4" s="4" t="inlineStr">
        <is>
          <t>Результат недели / контроль</t>
        </is>
      </c>
    </row>
    <row r="5">
      <c r="A5" s="5" t="inlineStr">
        <is>
          <t>W01</t>
        </is>
      </c>
      <c r="B5" s="6" t="inlineStr">
        <is>
          <t>17–23.08</t>
        </is>
      </c>
      <c r="C5" s="6" t="inlineStr">
        <is>
          <t>Выгрузка пулов; старт реанимации 95 лидов; письмо выпускникам; нагон на ДОД (email+посты); UTM-разметка</t>
        </is>
      </c>
      <c r="D5" s="6" t="inlineStr">
        <is>
          <t>База, email, соцсети МИГ</t>
        </is>
      </c>
      <c r="E5" s="6" t="inlineStr">
        <is>
          <t>0 €</t>
        </is>
      </c>
      <c r="F5" s="6" t="inlineStr">
        <is>
          <t>Размеры пулов известны; 70+ регистраций ДОД</t>
        </is>
      </c>
    </row>
    <row r="6">
      <c r="A6" s="5" t="inlineStr">
        <is>
          <t>W02</t>
        </is>
      </c>
      <c r="B6" s="6" t="inlineStr">
        <is>
          <t>24–30.08</t>
        </is>
      </c>
      <c r="C6" s="6" t="inlineStr">
        <is>
          <t>ДОД 25.08; письма после ДОД (дошедшим/недошедшим — разные); запуск Яндекс брендовый; запрос доступа Meta</t>
        </is>
      </c>
      <c r="D6" s="6" t="inlineStr">
        <is>
          <t>ДОД, email, Яндекс</t>
        </is>
      </c>
      <c r="E6" s="6" t="inlineStr">
        <is>
          <t>50 €</t>
        </is>
      </c>
      <c r="F6" s="6" t="inlineStr">
        <is>
          <t>3–5 заявок на интервью; Яндекс: доля показов по бренду</t>
        </is>
      </c>
    </row>
    <row r="7">
      <c r="A7" s="5" t="inlineStr">
        <is>
          <t>W03</t>
        </is>
      </c>
      <c r="B7" s="6" t="inlineStr">
        <is>
          <t>31.08–06.09</t>
        </is>
      </c>
      <c r="C7" s="6" t="inlineStr">
        <is>
          <t>Аудит Meta-кабинета (фрод!); настройка пикселя и аудиторий; подготовка креативов теста (6 вариантов)</t>
        </is>
      </c>
      <c r="D7" s="6" t="inlineStr">
        <is>
          <t>Meta (подготовка)</t>
        </is>
      </c>
      <c r="E7" s="6" t="inlineStr">
        <is>
          <t>0 €</t>
        </is>
      </c>
      <c r="F7" s="6" t="inlineStr">
        <is>
          <t>Аудит готов: причина фрода названа; креативы в работе</t>
        </is>
      </c>
    </row>
    <row r="8">
      <c r="A8" s="5" t="inlineStr">
        <is>
          <t>W04</t>
        </is>
      </c>
      <c r="B8" s="6" t="inlineStr">
        <is>
          <t>07–13.09</t>
        </is>
      </c>
      <c r="C8" s="6" t="inlineStr">
        <is>
          <t>ЗАПУСК ретаргетинга (пиксель+база) и ТЕСТА креативов (CTR-скрининг); сайт на домене</t>
        </is>
      </c>
      <c r="D8" s="6" t="inlineStr">
        <is>
          <t>Meta ретаргет + тест</t>
        </is>
      </c>
      <c r="E8" s="6" t="inlineStr">
        <is>
          <t>300 €</t>
        </is>
      </c>
      <c r="F8" s="6" t="inlineStr">
        <is>
          <t>Тест идёт; CPL ретаргета ≤15 €</t>
        </is>
      </c>
    </row>
    <row r="9">
      <c r="A9" s="5" t="inlineStr">
        <is>
          <t>W05</t>
        </is>
      </c>
      <c r="B9" s="6" t="inlineStr">
        <is>
          <t>14–20.09</t>
        </is>
      </c>
      <c r="C9" s="6" t="inlineStr">
        <is>
          <t>Вебинар №1 (телесность/сексуальность); промо вебинара в Meta на тёплые; посевы: проверка каналов по R06</t>
        </is>
      </c>
      <c r="D9" s="6" t="inlineStr">
        <is>
          <t>Вебинар, Meta, TGStat</t>
        </is>
      </c>
      <c r="E9" s="6" t="inlineStr">
        <is>
          <t>150 €</t>
        </is>
      </c>
      <c r="F9" s="6" t="inlineStr">
        <is>
          <t>100+ регистраций, 35+ живьём; список каналов посева готов</t>
        </is>
      </c>
    </row>
    <row r="10">
      <c r="A10" s="5" t="inlineStr">
        <is>
          <t>W06</t>
        </is>
      </c>
      <c r="B10" s="6" t="inlineStr">
        <is>
          <t>21–27.09</t>
        </is>
      </c>
      <c r="C10" s="6" t="inlineStr">
        <is>
          <t>CPL-раунд теста (2–3 победителя); первые посевы TG (2–3 канала); ретаргет на регистрантов вебинара</t>
        </is>
      </c>
      <c r="D10" s="6" t="inlineStr">
        <is>
          <t>Meta, посевы TG</t>
        </is>
      </c>
      <c r="E10" s="6" t="inlineStr">
        <is>
          <t>400 €</t>
        </is>
      </c>
      <c r="F10" s="6" t="inlineStr">
        <is>
          <t>Победители теста известны; CPL посева ≤15 €</t>
        </is>
      </c>
    </row>
    <row r="11">
      <c r="A11" s="5" t="inlineStr">
        <is>
          <t>W07</t>
        </is>
      </c>
      <c r="B11" s="6" t="inlineStr">
        <is>
          <t>28.09–04.10</t>
        </is>
      </c>
      <c r="C11" s="6" t="inlineStr">
        <is>
          <t>ПУШ РАННЕЙ ЦЕНЫ: 3 письма (за 3 дня/за сутки/в день 30.09) + ретаргет-дедлайн на всех тёплых</t>
        </is>
      </c>
      <c r="D11" s="6" t="inlineStr">
        <is>
          <t>Email, Meta ретаргет</t>
        </is>
      </c>
      <c r="E11" s="6" t="inlineStr">
        <is>
          <t>150 €</t>
        </is>
      </c>
      <c r="F11" s="6" t="inlineStr">
        <is>
          <t>Замер №1: 8 оплат (реалистично). Если &lt;4 — пересбор плана</t>
        </is>
      </c>
    </row>
    <row r="12">
      <c r="A12" s="5" t="inlineStr">
        <is>
          <t>W08</t>
        </is>
      </c>
      <c r="B12" s="6" t="inlineStr">
        <is>
          <t>05–11.10</t>
        </is>
      </c>
      <c r="C12" s="6" t="inlineStr">
        <is>
          <t>Вебинар №2 (клиника: зависимость/РПП); автовебинар в TG-боте запущен на холод; Meta холод СТАРТ (лендинг, антифрод-фильтры)</t>
        </is>
      </c>
      <c r="D12" s="6" t="inlineStr">
        <is>
          <t>Вебинар, Meta холод</t>
        </is>
      </c>
      <c r="E12" s="6" t="inlineStr">
        <is>
          <t>350 €</t>
        </is>
      </c>
      <c r="F12" s="6" t="inlineStr">
        <is>
          <t>80–100 регистраций; холод помечен «следующий поток»</t>
        </is>
      </c>
    </row>
    <row r="13">
      <c r="A13" s="5" t="inlineStr">
        <is>
          <t>W09</t>
        </is>
      </c>
      <c r="B13" s="6" t="inlineStr">
        <is>
          <t>12–18.10</t>
        </is>
      </c>
      <c r="C13" s="6" t="inlineStr">
        <is>
          <t>Вторая волна посевов (3–4 канала по метрикам первых); обзвон отвалившихся (если есть человек)</t>
        </is>
      </c>
      <c r="D13" s="6" t="inlineStr">
        <is>
          <t>Посевы TG, обзвон</t>
        </is>
      </c>
      <c r="E13" s="6" t="inlineStr">
        <is>
          <t>300 €</t>
        </is>
      </c>
      <c r="F13" s="6" t="inlineStr">
        <is>
          <t>+3–5 заявок; фактический CPL посевов сверен с планом</t>
        </is>
      </c>
    </row>
    <row r="14">
      <c r="A14" s="5" t="inlineStr">
        <is>
          <t>W10</t>
        </is>
      </c>
      <c r="B14" s="6" t="inlineStr">
        <is>
          <t>19–25.10</t>
        </is>
      </c>
      <c r="C14" s="6" t="inlineStr">
        <is>
          <t>Вебинар №3 (знакомство с ведущими); ретаргет на всех участников событий; Замер №2</t>
        </is>
      </c>
      <c r="D14" s="6" t="inlineStr">
        <is>
          <t>Вебинар, Meta</t>
        </is>
      </c>
      <c r="E14" s="6" t="inlineStr">
        <is>
          <t>200 €</t>
        </is>
      </c>
      <c r="F14" s="6" t="inlineStr">
        <is>
          <t>15 оплат кумулятивно (реалистично)</t>
        </is>
      </c>
    </row>
    <row r="15">
      <c r="A15" s="5" t="inlineStr">
        <is>
          <t>W11</t>
        </is>
      </c>
      <c r="B15" s="6" t="inlineStr">
        <is>
          <t>26.10–01.11</t>
        </is>
      </c>
      <c r="C15" s="6" t="inlineStr">
        <is>
          <t>Финальная неделя: ретаргет-дедлайн «набор закрывается 04.11», личные сообщения всем незакрытым интервью</t>
        </is>
      </c>
      <c r="D15" s="6" t="inlineStr">
        <is>
          <t>Meta, email, личка</t>
        </is>
      </c>
      <c r="E15" s="6" t="inlineStr">
        <is>
          <t>250 €</t>
        </is>
      </c>
      <c r="F15" s="6" t="inlineStr">
        <is>
          <t>Закрытие хвоста; каждая незакрытая заявка получила касание</t>
        </is>
      </c>
    </row>
    <row r="16">
      <c r="A16" s="5" t="inlineStr">
        <is>
          <t>W12</t>
        </is>
      </c>
      <c r="B16" s="6" t="inlineStr">
        <is>
          <t>02–04.11</t>
        </is>
      </c>
      <c r="C16" s="6" t="inlineStr">
        <is>
          <t>04.11 — дедлайн набора. Подсчёт факта. Решение о доборе</t>
        </is>
      </c>
      <c r="D16" s="6" t="inlineStr">
        <is>
          <t>—</t>
        </is>
      </c>
      <c r="E16" s="6" t="inlineStr">
        <is>
          <t>0 €</t>
        </is>
      </c>
      <c r="F16" s="6" t="inlineStr">
        <is>
          <t>Факт против плана; решение клиента о доборе</t>
        </is>
      </c>
    </row>
    <row r="17">
      <c r="A17" s="5" t="inlineStr">
        <is>
          <t>W13–16</t>
        </is>
      </c>
      <c r="B17" s="6" t="inlineStr">
        <is>
          <t>05.11–04.12</t>
        </is>
      </c>
      <c r="C17" s="6" t="inlineStr">
        <is>
          <t>Если добор разрешён: дожим waitlist + дозревших; вторая ступень цены 01.11→04.12; автовебинар работает; онбординг оплативших</t>
        </is>
      </c>
      <c r="D17" s="6" t="inlineStr">
        <is>
          <t>Email, автовебинар</t>
        </is>
      </c>
      <c r="E17" s="6" t="inlineStr">
        <is>
          <t>350 €</t>
        </is>
      </c>
      <c r="F17" s="6" t="inlineStr">
        <is>
          <t>Добор до цели; старт 04.12 без волны негатива (онбординг!)</t>
        </is>
      </c>
    </row>
    <row r="18">
      <c r="A18" s="24" t="inlineStr">
        <is>
          <t>ИТОГО</t>
        </is>
      </c>
      <c r="E18" s="24" t="inlineStr">
        <is>
          <t>2 500 €</t>
        </is>
      </c>
      <c r="F18" s="26" t="inlineStr">
        <is>
          <t>Сходится с бюджетом реалистичного сценария (лист 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18" customWidth="1" min="3" max="3"/>
    <col width="24" customWidth="1" min="4" max="4"/>
    <col width="22" customWidth="1" min="5" max="5"/>
    <col width="40" customWidth="1" min="6" max="6"/>
  </cols>
  <sheetData>
    <row r="1">
      <c r="A1" s="1" t="inlineStr">
        <is>
          <t>Креативы: какие, где, на кого, какая цель</t>
        </is>
      </c>
    </row>
    <row r="2">
      <c r="A2" s="2" t="inlineStr">
        <is>
          <t>Айдентика «Сложного случая»: тёмный фон, терракотовый акцент ≤5%, один крючок на кадр. Все тексты — через вычитку журналистом. ТЗ дизайнеру v2 уже выдано (5 сюжетов × 2 формата).</t>
        </is>
      </c>
    </row>
    <row r="4">
      <c r="A4" s="4" t="inlineStr">
        <is>
          <t>Креатив / сюжет</t>
        </is>
      </c>
      <c r="B4" s="4" t="inlineStr">
        <is>
          <t>Формат</t>
        </is>
      </c>
      <c r="C4" s="4" t="inlineStr">
        <is>
          <t>Канал</t>
        </is>
      </c>
      <c r="D4" s="4" t="inlineStr">
        <is>
          <t>На кого нацелен</t>
        </is>
      </c>
      <c r="E4" s="4" t="inlineStr">
        <is>
          <t>Цель</t>
        </is>
      </c>
      <c r="F4" s="4" t="inlineStr">
        <is>
          <t>Как работает (механика убеждения)</t>
        </is>
      </c>
    </row>
    <row r="5">
      <c r="A5" s="5" t="inlineStr">
        <is>
          <t>S1 «Сложные клиенты приходят раньше, чем к ним готов»</t>
        </is>
      </c>
      <c r="B5" s="6" t="inlineStr">
        <is>
          <t>1080×1080 + 1080×1920</t>
        </is>
      </c>
      <c r="C5" s="6" t="inlineStr">
        <is>
          <t>Meta холод + посевы</t>
        </is>
      </c>
      <c r="D5" s="6" t="inlineStr">
        <is>
          <t>Практикующие психологи 27–55, RU-speaking вне РФ</t>
        </is>
      </c>
      <c r="E5" s="6" t="inlineStr">
        <is>
          <t>Клик → лендинг</t>
        </is>
      </c>
      <c r="F5" s="6" t="inlineStr">
        <is>
          <t>Крючок-боль из текстов сайта: молодому терапевту сложное достаётся раньше опыта. Узнавание себя → клик.</t>
        </is>
      </c>
    </row>
    <row r="6">
      <c r="A6" s="5" t="inlineStr">
        <is>
          <t>S2 «8 узких тем, за пределами базовой подготовки»</t>
        </is>
      </c>
      <c r="B6" s="6" t="inlineStr">
        <is>
          <t>оба формата</t>
        </is>
      </c>
      <c r="C6" s="6" t="inlineStr">
        <is>
          <t>Meta холод</t>
        </is>
      </c>
      <c r="D6" s="6" t="inlineStr">
        <is>
          <t>Психологи, ищущие специализацию</t>
        </is>
      </c>
      <c r="E6" s="6" t="inlineStr">
        <is>
          <t>Клик → лендинг</t>
        </is>
      </c>
      <c r="F6" s="6" t="inlineStr">
        <is>
          <t>Конкретика содержания (РПП, зависимости, горе, секс. травмы) — отстройка от «водянистых» курсов (боль из касдева n=170).</t>
        </is>
      </c>
    </row>
    <row r="7">
      <c r="A7" s="5" t="inlineStr">
        <is>
          <t>S3 «Супервизия: 16 групп + конференция случаев»</t>
        </is>
      </c>
      <c r="B7" s="6" t="inlineStr">
        <is>
          <t>оба формата</t>
        </is>
      </c>
      <c r="C7" s="6" t="inlineStr">
        <is>
          <t>Meta ретаргет</t>
        </is>
      </c>
      <c r="D7" s="6" t="inlineStr">
        <is>
          <t>Видевшие лендинг, не оставившие заявку</t>
        </is>
      </c>
      <c r="E7" s="6" t="inlineStr">
        <is>
          <t>Заявка</t>
        </is>
      </c>
      <c r="F7" s="6" t="inlineStr">
        <is>
          <t>Дозакрытие возражения «нечёткие результаты»: показываем механику практики, не обещания.</t>
        </is>
      </c>
    </row>
    <row r="8">
      <c r="A8" s="5" t="inlineStr">
        <is>
          <t>S4 «Ранний тариф до 30.09»</t>
        </is>
      </c>
      <c r="B8" s="6" t="inlineStr">
        <is>
          <t>оба формата</t>
        </is>
      </c>
      <c r="C8" s="6" t="inlineStr">
        <is>
          <t>Meta ретаргет + email</t>
        </is>
      </c>
      <c r="D8" s="6" t="inlineStr">
        <is>
          <t>Все тёплые: лиды, регистранты, посетители</t>
        </is>
      </c>
      <c r="E8" s="6" t="inlineStr">
        <is>
          <t>Оплата/заявка</t>
        </is>
      </c>
      <c r="F8" s="6" t="inlineStr">
        <is>
          <t>Дедлайн без манипуляции: честная дата, честная выгода (до 210 €). Работает в W06–W07.</t>
        </is>
      </c>
    </row>
    <row r="9">
      <c r="A9" s="5" t="inlineStr">
        <is>
          <t>S5 Мастер-шаблон «крючок-тема»</t>
        </is>
      </c>
      <c r="B9" s="6" t="inlineStr">
        <is>
          <t>шаблон</t>
        </is>
      </c>
      <c r="C9" s="6" t="inlineStr">
        <is>
          <t>все каналы</t>
        </is>
      </c>
      <c r="D9" s="6" t="inlineStr">
        <is>
          <t>под замену крючка</t>
        </is>
      </c>
      <c r="E9" s="6" t="inlineStr">
        <is>
          <t>универсальный</t>
        </is>
      </c>
      <c r="F9" s="6" t="inlineStr">
        <is>
          <t>Быстрая генерация вариантов для тестов без нового дизайна.</t>
        </is>
      </c>
    </row>
    <row r="10">
      <c r="A10" s="5" t="inlineStr">
        <is>
          <t>В1–В3 Афиши вебинаров (тема + ведущий + дата)</t>
        </is>
      </c>
      <c r="B10" s="6" t="inlineStr">
        <is>
          <t>1080×1080 + сторис</t>
        </is>
      </c>
      <c r="C10" s="6" t="inlineStr">
        <is>
          <t>Meta тёплые, email, посевы</t>
        </is>
      </c>
      <c r="D10" s="6" t="inlineStr">
        <is>
          <t>Регистранты базы + холод на бесплатное</t>
        </is>
      </c>
      <c r="E10" s="6" t="inlineStr">
        <is>
          <t>Регистрация на вебинар</t>
        </is>
      </c>
      <c r="F10" s="6" t="inlineStr">
        <is>
          <t>Вебинар — главный конвертер (7,2% против 1%). Лицо ведущего = доверие. Темы — из доказанно сильных.</t>
        </is>
      </c>
    </row>
    <row r="11">
      <c r="A11" s="5" t="inlineStr">
        <is>
          <t>Я1 Текстовые объявления Яндекс</t>
        </is>
      </c>
      <c r="B11" s="6" t="inlineStr">
        <is>
          <t>текст</t>
        </is>
      </c>
      <c r="C11" s="6" t="inlineStr">
        <is>
          <t>Яндекс Директ поиск</t>
        </is>
      </c>
      <c r="D11" s="6" t="inlineStr">
        <is>
          <t>Ищущие «МИГ гештальт», «сложный случай программа»</t>
        </is>
      </c>
      <c r="E11" s="6" t="inlineStr">
        <is>
          <t>Клик по бренду</t>
        </is>
      </c>
      <c r="F11" s="6" t="inlineStr">
        <is>
          <t>Защита бренда: чтобы искавшие НАС не ушли к МИГиП/МГИ. Точное соответствие, минус-слова.</t>
        </is>
      </c>
    </row>
    <row r="12">
      <c r="A12" s="5" t="inlineStr">
        <is>
          <t>П1 Тексты посевов (3 варианта под тип канала)</t>
        </is>
      </c>
      <c r="B12" s="6" t="inlineStr">
        <is>
          <t>текст + 1 картинка</t>
        </is>
      </c>
      <c r="C12" s="6" t="inlineStr">
        <is>
          <t>Telegram-каналы психологов</t>
        </is>
      </c>
      <c r="D12" s="6" t="inlineStr">
        <is>
          <t>Подписчики профильных каналов</t>
        </is>
      </c>
      <c r="E12" s="6" t="inlineStr">
        <is>
          <t>Клик → лендинг/вебинар</t>
        </is>
      </c>
      <c r="F12" s="6" t="inlineStr">
        <is>
          <t>Нативный тон канала, без рекламного глянца. Маркировка erid. Вариант А: кейс-история; Б: программа; В: вебинар.</t>
        </is>
      </c>
    </row>
    <row r="13">
      <c r="A13" s="12" t="inlineStr">
        <is>
          <t>Правило теста: в один момент тестируем ОДНУ переменную (крючок ИЛИ картинку). Победители — по CPL, не по CTR (лист 9).</t>
        </is>
      </c>
    </row>
  </sheetData>
  <mergeCells count="1">
    <mergeCell ref="A13:F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Рекламный бюджет: сводная по трём сценариям</t>
        </is>
      </c>
    </row>
    <row r="2">
      <c r="A2" s="2" t="inlineStr">
        <is>
          <t>Распределение — по вердикту совета: максимум в тёплые механики, посевы как тест, холод отдельной строкой на следующий поток.</t>
        </is>
      </c>
    </row>
    <row r="4">
      <c r="A4" s="4" t="inlineStr">
        <is>
          <t>Канал</t>
        </is>
      </c>
      <c r="B4" s="4" t="inlineStr">
        <is>
          <t>Пессимистично</t>
        </is>
      </c>
      <c r="C4" s="4" t="inlineStr">
        <is>
          <t>Реалистично</t>
        </is>
      </c>
      <c r="D4" s="4" t="inlineStr">
        <is>
          <t>Оптимистично</t>
        </is>
      </c>
      <c r="E4" s="4" t="inlineStr">
        <is>
          <t>Почему столько (источник)</t>
        </is>
      </c>
    </row>
    <row r="5">
      <c r="A5" s="5" t="inlineStr">
        <is>
          <t>Ретаргетинг Meta (пиксель + база + участники событий)</t>
        </is>
      </c>
      <c r="B5" s="13" t="n">
        <v>300</v>
      </c>
      <c r="C5" s="13" t="n">
        <v>500</v>
      </c>
      <c r="D5" s="13" t="n">
        <v>800</v>
      </c>
      <c r="E5" s="8" t="inlineStr">
        <is>
          <t>Совет: тёплое — приоритет №1 платных денег. CPL ~12 €, короткое плечо до оплаты.</t>
        </is>
      </c>
    </row>
    <row r="6">
      <c r="A6" s="5" t="inlineStr">
        <is>
          <t>Промо вебинаров и ДОД (регистрации)</t>
        </is>
      </c>
      <c r="B6" s="13" t="n">
        <v>200</v>
      </c>
      <c r="C6" s="13" t="n">
        <v>300</v>
      </c>
      <c r="D6" s="13" t="n">
        <v>500</v>
      </c>
      <c r="E6" s="8" t="inlineStr">
        <is>
          <t>Вебинар — конвертер ×7 (факт 2025). Цена регистрации 3–6 €.</t>
        </is>
      </c>
    </row>
    <row r="7">
      <c r="A7" s="5" t="inlineStr">
        <is>
          <t>Посевы Telegram (2–3 канала, потом ещё 3–4)</t>
        </is>
      </c>
      <c r="B7" s="13" t="n">
        <v>250</v>
      </c>
      <c r="C7" s="13" t="n">
        <v>450</v>
      </c>
      <c r="D7" s="13" t="n">
        <v>700</v>
      </c>
      <c r="E7" s="8" t="inlineStr">
        <is>
          <t>Совет: урезано с 800 — канал без факта конверсии для ЭТОГО продукта. Тест по протоколу R06.</t>
        </is>
      </c>
    </row>
    <row r="8">
      <c r="A8" s="5" t="inlineStr">
        <is>
          <t>Холод: VK от ИП МИГа + Meta — вклад в СЛЕДУЮЩИЙ поток</t>
        </is>
      </c>
      <c r="B8" s="13" t="n">
        <v>100</v>
      </c>
      <c r="C8" s="13" t="n">
        <v>300</v>
      </c>
      <c r="D8" s="13" t="n">
        <v>600</v>
      </c>
      <c r="E8" s="8" t="inlineStr">
        <is>
          <t>Кабинет VK от ИП открыт 17.08 — ₽-ядро РФ. Лид холода в среднем не успевает пройти цикл до 04.11. Отдельная ROI-строка, не смешивать с целью «20 оплат».</t>
        </is>
      </c>
    </row>
    <row r="9">
      <c r="A9" s="5" t="inlineStr">
        <is>
          <t>Яндекс Директ брендовый</t>
        </is>
      </c>
      <c r="B9" s="13" t="n">
        <v>50</v>
      </c>
      <c r="C9" s="13" t="n">
        <v>100</v>
      </c>
      <c r="D9" s="13" t="n">
        <v>150</v>
      </c>
      <c r="E9" s="8" t="inlineStr">
        <is>
          <t>Совет: низкочастотка, цель — доля показов по бренду (защита от МИГиП/МГИ), а не CPL.</t>
        </is>
      </c>
    </row>
    <row r="10">
      <c r="A10" s="5" t="inlineStr">
        <is>
          <t>Тесты креативов (внутри Meta, выделено)</t>
        </is>
      </c>
      <c r="B10" s="13" t="n">
        <v>300</v>
      </c>
      <c r="C10" s="13" t="n">
        <v>650</v>
      </c>
      <c r="D10" s="13" t="n">
        <v>700</v>
      </c>
      <c r="E10" s="8" t="inlineStr">
        <is>
          <t>Расчёт на листе 9 (~656 €). Совет: 300–500 € на 8–12 вариантов не хватало — сокращён до 6 вариантов. Пессимист: 4 варианта.</t>
        </is>
      </c>
    </row>
    <row r="11">
      <c r="A11" s="5" t="inlineStr">
        <is>
          <t>Автовебинар: трафик на бот</t>
        </is>
      </c>
      <c r="B11" s="13" t="n">
        <v>50</v>
      </c>
      <c r="C11" s="13" t="n">
        <v>50</v>
      </c>
      <c r="D11" s="13" t="n">
        <v>150</v>
      </c>
      <c r="E11" s="8" t="inlineStr">
        <is>
          <t>С октября, работает на хвост и следующий поток.</t>
        </is>
      </c>
    </row>
    <row r="12">
      <c r="A12" s="5" t="inlineStr">
        <is>
          <t>Сервисы (TG-бот, email-платформа)</t>
        </is>
      </c>
      <c r="B12" s="13" t="n">
        <v>0</v>
      </c>
      <c r="C12" s="13" t="n">
        <v>0</v>
      </c>
      <c r="D12" s="13" t="n">
        <v>100</v>
      </c>
      <c r="E12" s="8" t="inlineStr">
        <is>
          <t>Стартуем на бесплатных тарифах; оптимист — платный тариф при росте базы.</t>
        </is>
      </c>
    </row>
    <row r="13">
      <c r="A13" s="5" t="inlineStr">
        <is>
          <t>Резерв → в лидера по фактическому CAC</t>
        </is>
      </c>
      <c r="B13" s="13" t="n">
        <v>250</v>
      </c>
      <c r="C13" s="13" t="n">
        <v>150</v>
      </c>
      <c r="D13" s="13" t="n">
        <v>300</v>
      </c>
      <c r="E13" s="8" t="inlineStr">
        <is>
          <t>Размораживается после замера 30.09. Триггеры: CAC канала ≤ плана ×1,3.</t>
        </is>
      </c>
    </row>
    <row r="14">
      <c r="A14" s="24" t="inlineStr">
        <is>
          <t>ИТОГО</t>
        </is>
      </c>
      <c r="B14" s="28">
        <f>SUM(B5:B13)</f>
        <v/>
      </c>
      <c r="C14" s="28">
        <f>SUM(C5:C13)</f>
        <v/>
      </c>
      <c r="D14" s="28">
        <f>SUM(D5:D13)</f>
        <v/>
      </c>
      <c r="E14" s="26" t="inlineStr">
        <is>
          <t>Должно сходиться с бюджетом сценария на листе 1</t>
        </is>
      </c>
    </row>
    <row r="16">
      <c r="A16" s="3" t="inlineStr">
        <is>
          <t>Stop-loss (переносится из бюджет-модели, работает для любого сценария)</t>
        </is>
      </c>
    </row>
    <row r="17">
      <c r="A17" s="6" t="inlineStr">
        <is>
          <t>• Канал не тратит больше 150 € без лида и больше 400 € без заявки «хочу на программу» — стоп и разбор.</t>
        </is>
      </c>
      <c r="B17" s="17" t="n"/>
      <c r="C17" s="17" t="n"/>
      <c r="D17" s="17" t="n"/>
      <c r="E17" s="7" t="n"/>
    </row>
    <row r="18">
      <c r="A18" s="6" t="inlineStr">
        <is>
          <t>• Meta: отключение объявления при CPL &gt; 40 € (при ≥500 показов). Посевы: после 2 первых каналов сверка цены перехода.</t>
        </is>
      </c>
      <c r="B18" s="17" t="n"/>
      <c r="C18" s="17" t="n"/>
      <c r="D18" s="17" t="n"/>
      <c r="E18" s="7" t="n"/>
    </row>
    <row r="19">
      <c r="A19" s="6" t="inlineStr">
        <is>
          <t>• Резерв не тратится до замера 30.09 — потом в канал-лидер по фактическому CAC (не по CPL!).</t>
        </is>
      </c>
      <c r="B19" s="17" t="n"/>
      <c r="C19" s="17" t="n"/>
      <c r="D19" s="17" t="n"/>
      <c r="E19" s="7" t="n"/>
    </row>
    <row r="20">
      <c r="A20" s="6" t="inlineStr">
        <is>
          <t>• Еженедельная сверка факта с этой таблицей; деньги перекладываются по фактическому CAC.</t>
        </is>
      </c>
      <c r="B20" s="17" t="n"/>
      <c r="C20" s="17" t="n"/>
      <c r="D20" s="17" t="n"/>
      <c r="E20" s="7" t="n"/>
    </row>
  </sheetData>
  <mergeCells count="4">
    <mergeCell ref="A17:E17"/>
    <mergeCell ref="A18:E18"/>
    <mergeCell ref="A20:E20"/>
    <mergeCell ref="A19:E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Расчёт теста креативов (двухэтапный дизайн)</t>
        </is>
      </c>
    </row>
    <row r="2">
      <c r="A2" s="2" t="inlineStr">
        <is>
          <t>Методология: этап 1 — CTR-скрининг (дёшево отсеять слабые), этап 2 — CPL-раунд только на победителях. Так малый бюджет даёт статистически осмысленный выбор.</t>
        </is>
      </c>
    </row>
    <row r="4">
      <c r="A4" s="3" t="inlineStr">
        <is>
          <t>Этап 1. CTR-скрининг</t>
        </is>
      </c>
    </row>
    <row r="5">
      <c r="A5" s="4" t="inlineStr">
        <is>
          <t>Параметр</t>
        </is>
      </c>
      <c r="B5" s="4" t="inlineStr">
        <is>
          <t>Значение</t>
        </is>
      </c>
      <c r="C5" s="4" t="inlineStr"/>
      <c r="D5" s="4" t="inlineStr">
        <is>
          <t>Обоснование</t>
        </is>
      </c>
    </row>
    <row r="6">
      <c r="A6" s="6" t="inlineStr">
        <is>
          <t>Вариантов креативов</t>
        </is>
      </c>
      <c r="B6" s="18" t="n">
        <v>6</v>
      </c>
      <c r="D6" s="8" t="inlineStr">
        <is>
          <t>Вердикт совета: 8–12 вариантов бюджет не тянет — 6 достаточно (3 крючка × 2 визуала).</t>
        </is>
      </c>
    </row>
    <row r="7">
      <c r="A7" s="6" t="inlineStr">
        <is>
          <t>Показов на вариант</t>
        </is>
      </c>
      <c r="B7" s="29" t="n">
        <v>7700</v>
      </c>
      <c r="D7" s="8" t="inlineStr">
        <is>
          <t>Расчёт мощности теста пропорций (наша методичка, раздел 2)</t>
        </is>
      </c>
    </row>
    <row r="8">
      <c r="A8" s="6" t="inlineStr">
        <is>
          <t>CPM (узкая психо-аудитория, RU-speaking вне РФ)</t>
        </is>
      </c>
      <c r="B8" s="13" t="n">
        <v>9</v>
      </c>
      <c r="D8" s="8" t="inlineStr">
        <is>
          <t>ДОПУЩЕНИЕ, калибруется в W04</t>
        </is>
      </c>
    </row>
    <row r="9">
      <c r="A9" s="5" t="inlineStr">
        <is>
          <t>Бюджет этапа 1</t>
        </is>
      </c>
      <c r="B9" s="20">
        <f>B6*B7/1000*B8</f>
        <v/>
      </c>
      <c r="D9" s="8" t="inlineStr">
        <is>
          <t>Формула: варианты × показы ÷ 1000 × CPM</t>
        </is>
      </c>
    </row>
    <row r="11">
      <c r="A11" s="3" t="inlineStr">
        <is>
          <t>Этап 2. CPL-раунд (только победители)</t>
        </is>
      </c>
    </row>
    <row r="12">
      <c r="A12" s="4" t="inlineStr">
        <is>
          <t>Параметр</t>
        </is>
      </c>
      <c r="B12" s="4" t="inlineStr">
        <is>
          <t>Значение</t>
        </is>
      </c>
      <c r="C12" s="4" t="inlineStr"/>
      <c r="D12" s="4" t="inlineStr">
        <is>
          <t>Обоснование</t>
        </is>
      </c>
    </row>
    <row r="13">
      <c r="A13" s="6" t="inlineStr">
        <is>
          <t>Победителей в раунде</t>
        </is>
      </c>
      <c r="B13" s="18" t="n">
        <v>2</v>
      </c>
      <c r="D13" s="8" t="inlineStr">
        <is>
          <t>Топ-2 по CTR при не худшем CPC</t>
        </is>
      </c>
    </row>
    <row r="14">
      <c r="A14" s="6" t="inlineStr">
        <is>
          <t>Лидов на вариант для решения</t>
        </is>
      </c>
      <c r="B14" s="18" t="n">
        <v>10</v>
      </c>
      <c r="D14" s="8" t="inlineStr">
        <is>
          <t>Управленческий порог, не статистика (см. примечание)</t>
        </is>
      </c>
    </row>
    <row r="15">
      <c r="A15" s="6" t="inlineStr">
        <is>
          <t>Плановый CPL раунда</t>
        </is>
      </c>
      <c r="B15" s="13" t="n">
        <v>12</v>
      </c>
      <c r="D15" s="8" t="inlineStr">
        <is>
          <t>Тёплые+ретаргет аудитории → ниже холодного CPL 20 €</t>
        </is>
      </c>
    </row>
    <row r="16">
      <c r="A16" s="5" t="inlineStr">
        <is>
          <t>Бюджет этапа 2</t>
        </is>
      </c>
      <c r="B16" s="20">
        <f>B13*B14*B15</f>
        <v/>
      </c>
      <c r="D16" s="8" t="inlineStr">
        <is>
          <t>Формула: победители × лиды × CPL</t>
        </is>
      </c>
    </row>
    <row r="17">
      <c r="A17" s="24" t="inlineStr">
        <is>
          <t>ИТОГО бюджет теста</t>
        </is>
      </c>
      <c r="B17" s="28">
        <f>B9+B16</f>
        <v/>
      </c>
      <c r="D17" s="26" t="inlineStr">
        <is>
          <t>Заложено в строку «Тесты креативов» листа 8 (реалистично 550 €)</t>
        </is>
      </c>
    </row>
    <row r="19">
      <c r="A19" s="3" t="inlineStr">
        <is>
          <t>Правила теста</t>
        </is>
      </c>
    </row>
    <row r="20">
      <c r="A20" s="6" t="inlineStr">
        <is>
          <t>• Одна переменная за раз: сначала крючок (3 варианта при одном визуале), потом визуал.</t>
        </is>
      </c>
      <c r="B20" s="17" t="n"/>
      <c r="C20" s="17" t="n"/>
      <c r="D20" s="7" t="n"/>
    </row>
    <row r="21">
      <c r="A21" s="6" t="inlineStr">
        <is>
          <t>• Решение по этапу 1 — CTR и CPC; решение по этапу 2 — CPL; масштабирование — по CAC (цена ОПЛАТЫ, не лида!).</t>
        </is>
      </c>
      <c r="B21" s="17" t="n"/>
      <c r="C21" s="17" t="n"/>
      <c r="D21" s="7" t="n"/>
    </row>
    <row r="22">
      <c r="A22" s="6" t="inlineStr">
        <is>
          <t>• Аудитории этапов не пересекаются с боевым ретаргетом (исключения аудиторий), чтобы тест не крал дешёвые конверсии.</t>
        </is>
      </c>
      <c r="B22" s="17" t="n"/>
      <c r="C22" s="17" t="n"/>
      <c r="D22" s="7" t="n"/>
    </row>
    <row r="23">
      <c r="A23" s="6" t="inlineStr">
        <is>
          <t>• Антифрод: только плейсменты лент (без Audience Network), лендинг вместо лид-форм, гео/язык проверяются в разбивке.</t>
        </is>
      </c>
      <c r="B23" s="17" t="n"/>
      <c r="C23" s="17" t="n"/>
      <c r="D23" s="7" t="n"/>
    </row>
  </sheetData>
  <mergeCells count="4">
    <mergeCell ref="A22:D22"/>
    <mergeCell ref="A23:D23"/>
    <mergeCell ref="A20:D20"/>
    <mergeCell ref="A21:D2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46" customWidth="1" min="3" max="3"/>
  </cols>
  <sheetData>
    <row r="1">
      <c r="A1" s="1" t="inlineStr">
        <is>
          <t>Все расходы: предполагаемые, случайные, непредвиденные</t>
        </is>
      </c>
    </row>
    <row r="2">
      <c r="A2" s="2" t="inlineStr">
        <is>
          <t>Чек-лист совета аудиторов: что обычно забывают в таких планах. Рекламный бюджет — лист 8; здесь всё ОСТАЛЬНОЕ.</t>
        </is>
      </c>
    </row>
    <row r="4">
      <c r="A4" s="4" t="inlineStr">
        <is>
          <t>Статья</t>
        </is>
      </c>
      <c r="B4" s="4" t="inlineStr">
        <is>
          <t>Оценка</t>
        </is>
      </c>
      <c r="C4" s="4" t="inlineStr">
        <is>
          <t>Комментарий / статус</t>
        </is>
      </c>
    </row>
    <row r="5">
      <c r="A5" s="5" t="inlineStr">
        <is>
          <t>Комиссии рассрочек (Долями / Тинькофф)</t>
        </is>
      </c>
      <c r="B5" s="30" t="inlineStr">
        <is>
          <t>3–8% от оплат в ₽</t>
        </is>
      </c>
      <c r="C5" s="8" t="inlineStr">
        <is>
          <t>СТАВКА НЕИЗВЕСТНА — запрошена (типичный диапазон для продавца). Вычитать из выручки сразу, а не «потом».</t>
        </is>
      </c>
    </row>
    <row r="6">
      <c r="A6" s="5" t="inlineStr">
        <is>
          <t>Комиссии международных платежей (EUR, конвертация)</t>
        </is>
      </c>
      <c r="B6" s="30" t="inlineStr">
        <is>
          <t>1–4% + фикс</t>
        </is>
      </c>
      <c r="C6" s="8" t="inlineStr">
        <is>
          <t>Спред конвертации и SWIFT для оплат «картой любой страны». Уточнить у бухгалтерии клиента.</t>
        </is>
      </c>
    </row>
    <row r="7">
      <c r="A7" s="5" t="inlineStr">
        <is>
          <t>Возвраты и отказы после оплаты</t>
        </is>
      </c>
      <c r="B7" s="30" t="inlineStr">
        <is>
          <t>5–15% от оплат</t>
        </is>
      </c>
      <c r="C7" s="8" t="inlineStr">
        <is>
          <t>Типично для онлайн-образования (вердикт совета). Закладывать в пессимистичный кэшфлоу.</t>
        </is>
      </c>
    </row>
    <row r="8">
      <c r="A8" s="5" t="inlineStr">
        <is>
          <t>Дизайнер креативов</t>
        </is>
      </c>
      <c r="B8" s="30" t="inlineStr">
        <is>
          <t>нужна цифра</t>
        </is>
      </c>
      <c r="C8" s="8" t="inlineStr">
        <is>
          <t>Нанят, стоимость работ не сообщена — запрошена. Объём: ТЗ v2 (10 макетов) + афиши вебинаров + шаблон.</t>
        </is>
      </c>
    </row>
    <row r="9">
      <c r="A9" s="5" t="inlineStr">
        <is>
          <t>Вычитка журналистом</t>
        </is>
      </c>
      <c r="B9" s="30" t="inlineStr">
        <is>
          <t>внутренняя</t>
        </is>
      </c>
      <c r="C9" s="8" t="inlineStr">
        <is>
          <t>Процесс агентства (агент-редактор), денежных затрат нет.</t>
        </is>
      </c>
    </row>
    <row r="10">
      <c r="A10" s="5" t="inlineStr">
        <is>
          <t>Сайт «Сложного случая»</t>
        </is>
      </c>
      <c r="B10" s="30" t="inlineStr">
        <is>
          <t>0 €</t>
        </is>
      </c>
      <c r="C10" s="8" t="inlineStr">
        <is>
          <t>Статика по ТЗ, делает агентство/разработчик клиента. Если Tilda — от ~15 €/мес (проверить).</t>
        </is>
      </c>
    </row>
    <row r="11">
      <c r="A11" s="5" t="inlineStr">
        <is>
          <t>Вебинарная платформа</t>
        </is>
      </c>
      <c r="B11" s="30" t="inlineStr">
        <is>
          <t>0–50 €/мес</t>
        </is>
      </c>
      <c r="C11" s="8" t="inlineStr">
        <is>
          <t>Zoom у клиента есть; хватит ли тарифа на 100+ участников — проверить ДО вебинара №1.</t>
        </is>
      </c>
    </row>
    <row r="12">
      <c r="A12" s="5" t="inlineStr">
        <is>
          <t>TG-бот (регистрации, автовебинар)</t>
        </is>
      </c>
      <c r="B12" s="30" t="inlineStr">
        <is>
          <t>0–20 €/мес</t>
        </is>
      </c>
      <c r="C12" s="8" t="inlineStr">
        <is>
          <t>Конструкторы ботов: бесплатный тариф на старте.</t>
        </is>
      </c>
    </row>
    <row r="13">
      <c r="A13" s="5" t="inlineStr">
        <is>
          <t>Модерация и простой кампаний</t>
        </is>
      </c>
      <c r="B13" s="30" t="inlineStr">
        <is>
          <t>риск времени</t>
        </is>
      </c>
      <c r="C13" s="8" t="inlineStr">
        <is>
          <t>Категория «образование/здоровье» у Meta проверяется строже: закладывать 1–2 дня на модерацию каждого запуска.</t>
        </is>
      </c>
    </row>
    <row r="14">
      <c r="A14" s="5" t="inlineStr">
        <is>
          <t>Бухгалтерия трёх юрлиц, валютный контроль</t>
        </is>
      </c>
      <c r="B14" s="30" t="inlineStr">
        <is>
          <t>зона клиента</t>
        </is>
      </c>
      <c r="C14" s="8" t="inlineStr">
        <is>
          <t>ООО Черногория + ИП РФ + самозанятый: время и % конвертаций. Не наш бюджет, но влияет на скорость запусков.</t>
        </is>
      </c>
    </row>
    <row r="15">
      <c r="A15" s="5" t="inlineStr">
        <is>
          <t>НЕПРЕДВИДЕННЫЕ (буфер)</t>
        </is>
      </c>
      <c r="B15" s="30">
        <f>15%</f>
        <v/>
      </c>
      <c r="C15" s="8" t="inlineStr">
        <is>
          <t>Стандарт проектного управления: 10–20% медиабюджета. При базовом бюджете 2 500 € буфер = 375 € СВЕРХ бюджета — согласовать с клиентом заранее, чтобы не останавливать кампанию посреди теста.</t>
        </is>
      </c>
    </row>
    <row r="17">
      <c r="A17" s="22" t="inlineStr">
        <is>
          <t>ГЛАВНАЯ ДЫРА ДАННЫХ</t>
        </is>
      </c>
      <c r="B17" s="23" t="inlineStr"/>
      <c r="C17" s="22" t="inlineStr">
        <is>
          <t>Себестоимость программы (гонорары 11 преподавателей, супервизоров, платформа обучения) неизвестна агентству. Без неё вся таблица считает ВЫРУЧКУ, а не прибыль. Запрошено у клиента.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34" customWidth="1" min="2" max="2"/>
    <col width="30" customWidth="1" min="3" max="3"/>
    <col width="34" customWidth="1" min="4" max="4"/>
  </cols>
  <sheetData>
    <row r="1">
      <c r="A1" s="1" t="inlineStr">
        <is>
          <t>Каналы продаж: почему они, как тестируем, что работает</t>
        </is>
      </c>
    </row>
    <row r="3">
      <c r="A3" s="4" t="inlineStr">
        <is>
          <t>Канал</t>
        </is>
      </c>
      <c r="B3" s="4" t="inlineStr">
        <is>
          <t>Почему он</t>
        </is>
      </c>
      <c r="C3" s="4" t="inlineStr">
        <is>
          <t>Как тестируем</t>
        </is>
      </c>
      <c r="D3" s="4" t="inlineStr">
        <is>
          <t>Что уже знаем (работает / нет)</t>
        </is>
      </c>
    </row>
    <row r="4">
      <c r="A4" s="5" t="inlineStr">
        <is>
          <t>Переписка WhatsApp/Telegram (менеджеры)</t>
        </is>
      </c>
      <c r="B4" s="6" t="inlineStr">
        <is>
          <t>Политика клиента: звонков нет. Лиды сами оставили контакт</t>
        </is>
      </c>
      <c r="C4" s="6" t="inlineStr">
        <is>
          <t>A/B: 3 версии первого сообщения на партии 10–20 отвалившихся (даёт Валя), потом лучшая — на все пулы</t>
        </is>
      </c>
      <c r="D4" s="6" t="inlineStr">
        <is>
          <t>НЕ РАБОТАЕТ: «всё ли верно?» без ценности (факт: 90% игнор). ЖДЁМ: скрипт 3 касаний (подарок→событие→цена).</t>
        </is>
      </c>
    </row>
    <row r="5">
      <c r="A5" s="5" t="inlineStr">
        <is>
          <t>Email-цепочки</t>
        </is>
      </c>
      <c r="B5" s="6" t="inlineStr">
        <is>
          <t>База есть, про программу ещё не писали — непуганый ресурс</t>
        </is>
      </c>
      <c r="C5" s="6" t="inlineStr">
        <is>
          <t>Замер open/click по каждому письму; 3 письма дедлайна 30.09 — отдельный замер</t>
        </is>
      </c>
      <c r="D5" s="6" t="inlineStr">
        <is>
          <t>Неизвестно: размер базы и её отклик. Бенчмарк образования: open ~28% (GetResponse 2024) — ориентир, не обещание.</t>
        </is>
      </c>
    </row>
    <row r="6">
      <c r="A6" s="5" t="inlineStr">
        <is>
          <t>Интервью (Zoom, ведущие)</t>
        </is>
      </c>
      <c r="B6" s="6" t="inlineStr">
        <is>
          <t>Исторический конвертер 55–73% в оплату. Продаёт внимание, не скидка</t>
        </is>
      </c>
      <c r="C6" s="6" t="inlineStr">
        <is>
          <t>Фиксируем в Alfa: доходимость, длительность, исход. Напоминания за 24ч/2ч — тест влияния на доходимость</t>
        </is>
      </c>
      <c r="D6" s="6" t="inlineStr">
        <is>
          <t>РАБОТАЕТ (факт). Узкое место — пропускная способность ведущих: проверить, сколько слотов в неделю реально.</t>
        </is>
      </c>
    </row>
    <row r="7">
      <c r="A7" s="5" t="inlineStr">
        <is>
          <t>Вебинары → заявка</t>
        </is>
      </c>
      <c r="B7" s="6" t="inlineStr">
        <is>
          <t>Механика 2025: конверсия 7,2% против 1% без прогрева</t>
        </is>
      </c>
      <c r="C7" s="6" t="inlineStr">
        <is>
          <t>Каждый вебинар: регистрации → живьём → заявки → оплаты. Сравниваем темы</t>
        </is>
      </c>
      <c r="D7" s="6" t="inlineStr">
        <is>
          <t>РАБОТАЕТ (факт 2025). НЕ работает: узкие авторские темы летом (Орлова 18.07 — 2 регистрации, факт).</t>
        </is>
      </c>
    </row>
    <row r="8">
      <c r="A8" s="5" t="inlineStr">
        <is>
          <t>Обзвон (когда будет человек)</t>
        </is>
      </c>
      <c r="B8" s="6" t="inlineStr">
        <is>
          <t>Speed-to-lead: голос конвертит выше переписки</t>
        </is>
      </c>
      <c r="C8" s="6" t="inlineStr">
        <is>
          <t>Первые 50 звонков по 95 лидам против переписки — сравнение конверсии в диалог</t>
        </is>
      </c>
      <c r="D8" s="6" t="inlineStr">
        <is>
          <t>Неизвестно. Блокер: человека нет (запрошен у клиента, п. 11 «Что нужно от МИГа»).</t>
        </is>
      </c>
    </row>
    <row r="9">
      <c r="A9" s="5" t="inlineStr">
        <is>
          <t>Рассрочка/помодульная оплата</t>
        </is>
      </c>
      <c r="B9" s="6" t="inlineStr">
        <is>
          <t>Снимает разовый платёж. НО: барьер клиентов — график, не деньги (факт от Вали)</t>
        </is>
      </c>
      <c r="C9" s="6" t="inlineStr">
        <is>
          <t>Тихая опция в оплате, НЕ строим кампанию вокруг неё. Замер: % выбравших рассрочку</t>
        </is>
      </c>
      <c r="D9" s="6" t="inlineStr">
        <is>
          <t>Помодульная РАБОТАЕТ (есть факт использования). Долями/Тинькофф — только карты РФ: международная часть не покрыта.</t>
        </is>
      </c>
    </row>
    <row r="10">
      <c r="A10" s="5" t="inlineStr">
        <is>
          <t>Сарафан / рекомендации выпускников</t>
        </is>
      </c>
      <c r="B10" s="6" t="inlineStr">
        <is>
          <t>Факт 2025: 50% студентов не с рекламы</t>
        </is>
      </c>
      <c r="C10" s="6" t="inlineStr">
        <is>
          <t>«Назови 1 коллегу» в письме выпускникам; замер: сколько имён пришло</t>
        </is>
      </c>
      <c r="D10" s="6" t="inlineStr">
        <is>
          <t>РАБОТАЕТ пассивно. НЕ работало: промо «приведи и получи скидку» — ни одного использования (факт). Работает статус, не скидка.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44" customWidth="1" min="2" max="2"/>
    <col width="20" customWidth="1" min="3" max="3"/>
    <col width="14" customWidth="1" min="4" max="4"/>
    <col width="30" customWidth="1" min="5" max="5"/>
  </cols>
  <sheetData>
    <row r="1">
      <c r="A1" s="1" t="inlineStr">
        <is>
          <t>ТЗ на правки (по итогам этого расчёта и совета)</t>
        </is>
      </c>
    </row>
    <row r="2">
      <c r="A2" s="2" t="inlineStr">
        <is>
          <t>Конкретные правки к сайту, процессу продаж и рекламной инфраструктуре. Дополняет «Открытые пункты» сайта и «Что нужно от МИГа».</t>
        </is>
      </c>
    </row>
    <row r="4">
      <c r="A4" s="4" t="inlineStr">
        <is>
          <t>№</t>
        </is>
      </c>
      <c r="B4" s="4" t="inlineStr">
        <is>
          <t>Правка</t>
        </is>
      </c>
      <c r="C4" s="4" t="inlineStr">
        <is>
          <t>Кому</t>
        </is>
      </c>
      <c r="D4" s="4" t="inlineStr">
        <is>
          <t>Срок</t>
        </is>
      </c>
      <c r="E4" s="4" t="inlineStr">
        <is>
          <t>Зачем</t>
        </is>
      </c>
    </row>
    <row r="5">
      <c r="A5" s="6" t="n">
        <v>1</v>
      </c>
      <c r="B5" s="5" t="inlineStr">
        <is>
          <t>Сайт: добавить вторую ступень цены 01.11 (между ранней 30.09 и стартом)</t>
        </is>
      </c>
      <c r="C5" s="6" t="inlineStr">
        <is>
          <t>учредитель → сайт</t>
        </is>
      </c>
      <c r="D5" s="6" t="inlineStr">
        <is>
          <t>19.08 (созвон)</t>
        </is>
      </c>
      <c r="E5" s="6" t="inlineStr">
        <is>
          <t>После 30.09 — 5 недель набора без единого дедлайна. Дедлайн — главный ускоритель цикла.</t>
        </is>
      </c>
    </row>
    <row r="6">
      <c r="A6" s="6" t="n">
        <v>2</v>
      </c>
      <c r="B6" s="5" t="inlineStr">
        <is>
          <t>Сайт: блок «Как программа ложится в ваш год» — расписание модулей, часы в неделю, совместимость с практикой</t>
        </is>
      </c>
      <c r="C6" s="6" t="inlineStr">
        <is>
          <t>методолог + сайт</t>
        </is>
      </c>
      <c r="D6" s="6" t="inlineStr">
        <is>
          <t>до 06.09</t>
        </is>
      </c>
      <c r="E6" s="6" t="inlineStr">
        <is>
          <t>Главная причина отказов — график и даты (факт от Вали). Отвечаем на неё ДО интервью.</t>
        </is>
      </c>
    </row>
    <row r="7">
      <c r="A7" s="6" t="n">
        <v>3</v>
      </c>
      <c r="B7" s="5" t="inlineStr">
        <is>
          <t>Сайт: честно решить противоречие «3–4 часа в неделю» против реальной пятницы Практика (модуль 10:00–14:00 + психоанализ 17:00–19:00)</t>
        </is>
      </c>
      <c r="C7" s="6" t="inlineStr">
        <is>
          <t>методолог</t>
        </is>
      </c>
      <c r="D7" s="6" t="inlineStr">
        <is>
          <t>до 06.09</t>
        </is>
      </c>
      <c r="E7" s="6" t="inlineStr">
        <is>
          <t>Открытый пункт №11 сайта. Обещание, которое не сойдётся с реальностью, убьёт сарафан.</t>
        </is>
      </c>
    </row>
    <row r="8">
      <c r="A8" s="6" t="n">
        <v>4</v>
      </c>
      <c r="B8" s="5" t="inlineStr">
        <is>
          <t>Сайт/процесс: письменная политика зачёта часов МГИ (да/нет/частично)</t>
        </is>
      </c>
      <c r="C8" s="6" t="inlineStr">
        <is>
          <t>методолог</t>
        </is>
      </c>
      <c r="D8" s="6" t="inlineStr">
        <is>
          <t>до 30.08</t>
        </is>
      </c>
      <c r="E8" s="6" t="inlineStr">
        <is>
          <t>Третья причина отказов. Менеджеры отвечают одинаково, слоты интервью не сгорают.</t>
        </is>
      </c>
    </row>
    <row r="9">
      <c r="A9" s="6" t="n">
        <v>5</v>
      </c>
      <c r="B9" s="5" t="inlineStr">
        <is>
          <t>Лид-магнит: бесшовный доступ к «9 лекциям» (ссылка сразу после заявки, без личного кабинета)</t>
        </is>
      </c>
      <c r="C9" s="6" t="inlineStr">
        <is>
          <t>разработчик</t>
        </is>
      </c>
      <c r="D9" s="6" t="inlineStr">
        <is>
          <t>до 06.09</t>
        </is>
      </c>
      <c r="E9" s="6" t="inlineStr">
        <is>
          <t>Сейчас логин/пароль теряют людей на входе (пункт 7 «Что нужно от МИГа»).</t>
        </is>
      </c>
    </row>
    <row r="10">
      <c r="A10" s="6" t="n">
        <v>6</v>
      </c>
      <c r="B10" s="5" t="inlineStr">
        <is>
          <t>Процесс: SLA первого касания ≤1 ч (горячие) / ≤4 ч (реанимация) — как KPI менеджеров в Alfa</t>
        </is>
      </c>
      <c r="C10" s="6" t="inlineStr">
        <is>
          <t>Валя</t>
        </is>
      </c>
      <c r="D10" s="6" t="inlineStr">
        <is>
          <t>с W01</t>
        </is>
      </c>
      <c r="E10" s="6" t="inlineStr">
        <is>
          <t>Причина 90% игнора июля. Speed-to-lead ×21 (benchmarks.md).</t>
        </is>
      </c>
    </row>
    <row r="11">
      <c r="A11" s="6" t="n">
        <v>7</v>
      </c>
      <c r="B11" s="5" t="inlineStr">
        <is>
          <t>Процесс: квал-вопрос про даты/график до записи на интервью + расписание в первом касании</t>
        </is>
      </c>
      <c r="C11" s="6" t="inlineStr">
        <is>
          <t>Валя</t>
        </is>
      </c>
      <c r="D11" s="6" t="inlineStr">
        <is>
          <t>с W01</t>
        </is>
      </c>
      <c r="E11" s="6" t="inlineStr">
        <is>
          <t>Отсев главной причины отказа на входе воронки.</t>
        </is>
      </c>
    </row>
    <row r="12">
      <c r="A12" s="6" t="n">
        <v>8</v>
      </c>
      <c r="B12" s="5" t="inlineStr">
        <is>
          <t>Процесс: waitlist для «не подходит по датам» и решение о доборе до 04.12 — заранее, не 03.11</t>
        </is>
      </c>
      <c r="C12" s="6" t="inlineStr">
        <is>
          <t>учредитель</t>
        </is>
      </c>
      <c r="D12" s="6" t="inlineStr">
        <is>
          <t>19.08 (созвон)</t>
        </is>
      </c>
      <c r="E12" s="6" t="inlineStr">
        <is>
          <t>Пессимистичный сценарий (12 оплат) не дотягивает до минимума 20 — добор становится планом Б.</t>
        </is>
      </c>
    </row>
    <row r="13">
      <c r="A13" s="6" t="n">
        <v>9</v>
      </c>
      <c r="B13" s="5" t="inlineStr">
        <is>
          <t>Реклама: UTM-разметка всех ссылок + поля источника в Alfa</t>
        </is>
      </c>
      <c r="C13" s="6" t="inlineStr">
        <is>
          <t>Тина</t>
        </is>
      </c>
      <c r="D13" s="6" t="inlineStr">
        <is>
          <t>до 22.08</t>
        </is>
      </c>
      <c r="E13" s="6" t="inlineStr">
        <is>
          <t>Без атрибуции невозможно проверить план по каналам (вердикт совета).</t>
        </is>
      </c>
    </row>
    <row r="14">
      <c r="A14" s="6" t="n">
        <v>10</v>
      </c>
      <c r="B14" s="5" t="inlineStr">
        <is>
          <t>Реклама: антифрод-настройки Meta (без Audience Network, лендинг вместо лид-форм, гео/язык в разбивке)</t>
        </is>
      </c>
      <c r="C14" s="6" t="inlineStr">
        <is>
          <t>Тина</t>
        </is>
      </c>
      <c r="D14" s="6" t="inlineStr">
        <is>
          <t>до запуска W04</t>
        </is>
      </c>
      <c r="E14" s="6" t="inlineStr">
        <is>
          <t>Июльский «фрод» — вероятно, настройки. Карантин-бюджет первой недели: 50 €/день максимум.</t>
        </is>
      </c>
    </row>
    <row r="15">
      <c r="A15" s="6" t="n">
        <v>11</v>
      </c>
      <c r="B15" s="5" t="inlineStr">
        <is>
          <t>Онбординг оплативших: один личный кабинет, welcome-цепочка, честно про 2 супервизии</t>
        </is>
      </c>
      <c r="C15" s="6" t="inlineStr">
        <is>
          <t>администрация</t>
        </is>
      </c>
      <c r="D15" s="6" t="inlineStr">
        <is>
          <t>до 04.12</t>
        </is>
      </c>
      <c r="E15" s="6" t="inlineStr">
        <is>
          <t>Прошлый поток начался с волны негатива — это бьёт по сарафану следующего набора (пункт 12 клиента).</t>
        </is>
      </c>
    </row>
    <row r="16">
      <c r="A16" s="6" t="n">
        <v>12</v>
      </c>
      <c r="B16" s="5" t="inlineStr">
        <is>
          <t>Таблица клиента (план 17.08): заменить допущения воронки на консервативные нормативы совета (ответ 15–30%, доходимость 55–60%, интервью→оплата 60–65%)</t>
        </is>
      </c>
      <c r="C16" s="6" t="inlineStr">
        <is>
          <t>Тина</t>
        </is>
      </c>
      <c r="D16" s="6" t="inlineStr">
        <is>
          <t>сделано в этом файле</t>
        </is>
      </c>
      <c r="E16" s="6" t="inlineStr">
        <is>
          <t>Исходные 45%/72%/73% превышали исторический максимум — план не может стоять на рекорде.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18" customWidth="1" min="3" max="3"/>
    <col width="40" customWidth="1" min="4" max="4"/>
  </cols>
  <sheetData>
    <row r="1">
      <c r="A1" s="1" t="inlineStr">
        <is>
          <t>Какие данные нужны для точности (запрос клиенту)</t>
        </is>
      </c>
    </row>
    <row r="2">
      <c r="A2" s="2" t="inlineStr">
        <is>
          <t>Пока этих данных нет, помеченные ДОПУЩЕНИЕМ числа — оценки. Каждый ответ делает таблицу точнее: заменяешь голубую ячейку — всё пересчитывается.</t>
        </is>
      </c>
    </row>
    <row r="4">
      <c r="A4" s="4" t="inlineStr">
        <is>
          <t>№</t>
        </is>
      </c>
      <c r="B4" s="4" t="inlineStr">
        <is>
          <t>Данные</t>
        </is>
      </c>
      <c r="C4" s="4" t="inlineStr">
        <is>
          <t>У кого</t>
        </is>
      </c>
      <c r="D4" s="4" t="inlineStr">
        <is>
          <t>Что уточнит в таблице</t>
        </is>
      </c>
    </row>
    <row r="5">
      <c r="A5" s="6" t="n">
        <v>1</v>
      </c>
      <c r="B5" s="5" t="inlineStr">
        <is>
          <t>Себестоимость программы: гонорары преподавателей/супервизоров, платформа</t>
        </is>
      </c>
      <c r="C5" s="6" t="inlineStr">
        <is>
          <t>учредитель</t>
        </is>
      </c>
      <c r="D5" s="6" t="inlineStr">
        <is>
          <t>Превратит расчёт выручки в расчёт ПРИБЫЛИ. Сейчас — главная дыра.</t>
        </is>
      </c>
    </row>
    <row r="6">
      <c r="A6" s="6" t="n">
        <v>2</v>
      </c>
      <c r="B6" s="5" t="inlineStr">
        <is>
          <t>Выгрузка Alfa: размеры пулов (отвалившиеся, email-база, база «9 лекций») с контактами</t>
        </is>
      </c>
      <c r="C6" s="6" t="inlineStr">
        <is>
          <t>Валя, до 20.08</t>
        </is>
      </c>
      <c r="D6" s="6" t="inlineStr">
        <is>
          <t>Лист 3: заменит допущения 50 и 300 фактами. От этого зависит, достижимы ли 20.</t>
        </is>
      </c>
    </row>
    <row r="7">
      <c r="A7" s="6" t="n">
        <v>3</v>
      </c>
      <c r="B7" s="5" t="inlineStr">
        <is>
          <t>Разбивка прошлых потоков по тарифам (сколько брали Практик/Слушатель...)</t>
        </is>
      </c>
      <c r="C7" s="6" t="inlineStr">
        <is>
          <t>Валя</t>
        </is>
      </c>
      <c r="D7" s="6" t="inlineStr">
        <is>
          <t>Состав оплат в сценариях (лист 1) — сейчас это план, не факт. Совет: 9 Практиков — оптимизм.</t>
        </is>
      </c>
    </row>
    <row r="8">
      <c r="A8" s="6" t="n">
        <v>4</v>
      </c>
      <c r="B8" s="5" t="inlineStr">
        <is>
          <t>История циклов сделки: какая доля сделок закрывалась быстрее 79 дней</t>
        </is>
      </c>
      <c r="C8" s="6" t="inlineStr">
        <is>
          <t>Валя (Alfa)</t>
        </is>
      </c>
      <c r="D8" s="6" t="inlineStr">
        <is>
          <t>Главный вопрос плана: успевают ли лиды сентября оплатить до 04.11. Сейчас — экспертная оценка.</t>
        </is>
      </c>
    </row>
    <row r="9">
      <c r="A9" s="6" t="n">
        <v>5</v>
      </c>
      <c r="B9" s="5" t="inlineStr">
        <is>
          <t>Комиссии Долями/Тинькофф и международного эквайринга</t>
        </is>
      </c>
      <c r="C9" s="6" t="inlineStr">
        <is>
          <t>бухгалтерия</t>
        </is>
      </c>
      <c r="D9" s="6" t="inlineStr">
        <is>
          <t>Лист 10: реальные ставки вместо диапазонов 3–8%.</t>
        </is>
      </c>
    </row>
    <row r="10">
      <c r="A10" s="6" t="n">
        <v>6</v>
      </c>
      <c r="B10" s="5" t="inlineStr">
        <is>
          <t>Стоимость дизайнера (ТЗ v2 + афиши + шаблон)</t>
        </is>
      </c>
      <c r="C10" s="6" t="inlineStr">
        <is>
          <t>Тина</t>
        </is>
      </c>
      <c r="D10" s="6" t="inlineStr">
        <is>
          <t>Лист 10: последняя неизвестная строка расходов агентства.</t>
        </is>
      </c>
    </row>
    <row r="11">
      <c r="A11" s="6" t="n">
        <v>7</v>
      </c>
      <c r="B11" s="5" t="inlineStr">
        <is>
          <t>Доступ к Meta-кабинету + выгрузка июльской кампании</t>
        </is>
      </c>
      <c r="C11" s="6" t="inlineStr">
        <is>
          <t>учредитель, до 22.08</t>
        </is>
      </c>
      <c r="D11" s="6" t="inlineStr">
        <is>
          <t>Аудит «фрода»: настройки или канал. От этого — конфигурация всего платного Meta.</t>
        </is>
      </c>
    </row>
    <row r="12">
      <c r="A12" s="6" t="n">
        <v>8</v>
      </c>
      <c r="B12" s="5" t="inlineStr">
        <is>
          <t>Решение: добор до 04.12 разрешён?</t>
        </is>
      </c>
      <c r="C12" s="6" t="inlineStr">
        <is>
          <t>учредитель, 19.08</t>
        </is>
      </c>
      <c r="D12" s="6" t="inlineStr">
        <is>
          <t>План Б пессимистичного сценария. Без решения заранее W13–16 пропадают.</t>
        </is>
      </c>
    </row>
    <row r="13">
      <c r="A13" s="6" t="n">
        <v>9</v>
      </c>
      <c r="B13" s="5" t="inlineStr">
        <is>
          <t>Вторая ступень цены 01.11: да/нет</t>
        </is>
      </c>
      <c r="C13" s="6" t="inlineStr">
        <is>
          <t>учредитель, 19.08</t>
        </is>
      </c>
      <c r="D13" s="6" t="inlineStr">
        <is>
          <t>Дедлайн-механика октября (лист 6, W11).</t>
        </is>
      </c>
    </row>
    <row r="14">
      <c r="A14" s="6" t="n">
        <v>10</v>
      </c>
      <c r="B14" s="5" t="inlineStr">
        <is>
          <t>Человек на обзвон: будет/нет, когда</t>
        </is>
      </c>
      <c r="C14" s="6" t="inlineStr">
        <is>
          <t>учредитель, до 30.08</t>
        </is>
      </c>
      <c r="D14" s="6" t="inlineStr">
        <is>
          <t>Каналы продаж: обзвон 95 лидов и отвалившихся. Без него — только переписка (конверсия ниже).</t>
        </is>
      </c>
    </row>
    <row r="15">
      <c r="A15" s="6" t="n">
        <v>11</v>
      </c>
      <c r="B15" s="5" t="inlineStr">
        <is>
          <t>Имя/ИНН ИП МИГа</t>
        </is>
      </c>
      <c r="C15" s="6" t="inlineStr">
        <is>
          <t>Валя/учредитель</t>
        </is>
      </c>
      <c r="D15" s="6" t="inlineStr">
        <is>
          <t>Запуск Яндекс Директ от ИП + маркировка посевов (ОРД/erid).</t>
        </is>
      </c>
    </row>
    <row r="16">
      <c r="A16" s="6" t="n">
        <v>12</v>
      </c>
      <c r="B16" s="5" t="inlineStr">
        <is>
          <t>Пропускная способность интервью: сколько слотов в неделю у ведущих</t>
        </is>
      </c>
      <c r="C16" s="6" t="inlineStr">
        <is>
          <t>методолог</t>
        </is>
      </c>
      <c r="D16" s="6" t="inlineStr">
        <is>
          <t>Узкое горло воронки в октябре (лист 3): 33 интервью должны физически поместиться в календарь.</t>
        </is>
      </c>
    </row>
    <row r="17">
      <c r="A17" s="6" t="n">
        <v>13</v>
      </c>
      <c r="B17" s="5" t="inlineStr">
        <is>
          <t>Записи прошлых вебинаров + право использования</t>
        </is>
      </c>
      <c r="C17" s="6" t="inlineStr">
        <is>
          <t>администрация</t>
        </is>
      </c>
      <c r="D17" s="6" t="inlineStr">
        <is>
          <t>Автовебинар (W08+): лучшая запись становится машиной следующего потока.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60" customWidth="1" min="2" max="2"/>
    <col width="22" customWidth="1" min="3" max="3"/>
  </cols>
  <sheetData>
    <row r="1">
      <c r="A1" s="1" t="inlineStr">
        <is>
          <t>Источники данных и исследований</t>
        </is>
      </c>
    </row>
    <row r="2">
      <c r="A2" s="2" t="inlineStr">
        <is>
          <t>Правило агентства: у каждой цифры — источник и год. [A] — первичные данные клиента, [B] — отраслевые исследования, [C] — наши оценки, помеченные как допущения.</t>
        </is>
      </c>
    </row>
    <row r="4">
      <c r="A4" s="4" t="inlineStr">
        <is>
          <t>Источник</t>
        </is>
      </c>
      <c r="B4" s="4" t="inlineStr">
        <is>
          <t>Что даёт</t>
        </is>
      </c>
      <c r="C4" s="4" t="inlineStr">
        <is>
          <t>Класс / год</t>
        </is>
      </c>
    </row>
    <row r="5">
      <c r="A5" s="5" t="inlineStr">
        <is>
          <t>Данные МИГ: xlsx «продвижение 2025–2026» (получен 07.08)</t>
        </is>
      </c>
      <c r="B5" s="6" t="inlineStr">
        <is>
          <t>CAC 72,3 €, CPL 4,87 €, конверсии 7,2%/1%, цикл сделки, 138 лидов 2025, квал-лид 25–44 €</t>
        </is>
      </c>
      <c r="C5" s="8" t="inlineStr">
        <is>
          <t>[A] 2025–2026</t>
        </is>
      </c>
    </row>
    <row r="6">
      <c r="A6" s="5" t="inlineStr">
        <is>
          <t>Реестр участников ППК 2023–2025 (получен 17.08)</t>
        </is>
      </c>
      <c r="B6" s="6" t="inlineStr">
        <is>
          <t>Потоки 15/21/20, состав аудитории (89–100% женщины)</t>
        </is>
      </c>
      <c r="C6" s="8" t="inlineStr">
        <is>
          <t>[A] 2023–2025</t>
        </is>
      </c>
    </row>
    <row r="7">
      <c r="A7" s="5" t="inlineStr">
        <is>
          <t>План набора «Сложный случай» (файл клиента, 17.08)</t>
        </is>
      </c>
      <c r="B7" s="6" t="inlineStr">
        <is>
          <t>Рамка: даты, тарифы, пулы, вебинарные факты (сексология/телесность 100+, Орлова — 2), ответы Вали</t>
        </is>
      </c>
      <c r="C7" s="8" t="inlineStr">
        <is>
          <t>[A] 2026</t>
        </is>
      </c>
    </row>
    <row r="8">
      <c r="A8" s="5" t="inlineStr">
        <is>
          <t>Файл «Сайт: структура и тексты» (17.08)</t>
        </is>
      </c>
      <c r="B8" s="6" t="inlineStr">
        <is>
          <t>Тарифы ранние/обычные, условия, скидки ДОД/ЯСНО, техтребования</t>
        </is>
      </c>
      <c r="C8" s="8" t="inlineStr">
        <is>
          <t>[A] 2026</t>
        </is>
      </c>
    </row>
    <row r="9">
      <c r="A9" s="5" t="inlineStr">
        <is>
          <t>Переписка с Валей 08.08 (скриншоты)</t>
        </is>
      </c>
      <c r="B9" s="6" t="inlineStr">
        <is>
          <t>Кампания отключена (фрод), нет звонков, email-база не тронута, барьеры «график/даты/зачёт часов», интервью→оплата 55–73%</t>
        </is>
      </c>
      <c r="C9" s="8" t="inlineStr">
        <is>
          <t>[A] 2026</t>
        </is>
      </c>
    </row>
    <row r="10">
      <c r="A10" s="5" t="inlineStr">
        <is>
          <t>Касдев «Цифра» n=170 (R13)</t>
        </is>
      </c>
      <c r="B10" s="6" t="inlineStr">
        <is>
          <t>Боли аудитории: «где брать клиентов» 83%, возражения «вода, нечёткие результаты»</t>
        </is>
      </c>
      <c r="C10" s="8" t="inlineStr">
        <is>
          <t>[A] 2026</t>
        </is>
      </c>
    </row>
    <row r="11">
      <c r="A11" s="5" t="inlineStr">
        <is>
          <t>R04 Юнит-экономика МИГ (наше исследование)</t>
        </is>
      </c>
      <c r="B11" s="6" t="inlineStr">
        <is>
          <t>LTV-маржа ~4 100 €, допустимый CAC 650–1 350 €</t>
        </is>
      </c>
      <c r="C11" s="8" t="inlineStr">
        <is>
          <t>[C] 2026</t>
        </is>
      </c>
    </row>
    <row r="12">
      <c r="A12" s="5" t="inlineStr">
        <is>
          <t>R05/benchmarks.md: WordStream / LocaliQ Facebook Ads Benchmarks</t>
        </is>
      </c>
      <c r="B12" s="6" t="inlineStr">
        <is>
          <t>CPL образования ~21 € медиана; CPC/CTR ориентиры. wordstream.com/blog/ws/2024/04/29/facebook-ads-benchmarks</t>
        </is>
      </c>
      <c r="C12" s="8" t="inlineStr">
        <is>
          <t>[B] 2024</t>
        </is>
      </c>
    </row>
    <row r="13">
      <c r="A13" s="5" t="inlineStr">
        <is>
          <t>Meta Business Help: learning phase</t>
        </is>
      </c>
      <c r="B13" s="6" t="inlineStr">
        <is>
          <t>~50 конверсий/неделю на ад-сет для выхода из обучения; статзначимость теста 50–100 конверсий. facebook.com/business/help/112167992830700</t>
        </is>
      </c>
      <c r="C13" s="8" t="inlineStr">
        <is>
          <t>[B] тек.</t>
        </is>
      </c>
    </row>
    <row r="14">
      <c r="A14" s="5" t="inlineStr">
        <is>
          <t>Lead response research (LeadResponseManagement.org; HBR «The Short Life of Online Sales Leads»)</t>
        </is>
      </c>
      <c r="B14" s="6" t="inlineStr">
        <is>
          <t>Скорость первого касания: контакт в первые 5 минут кратно поднимает квалификацию (×21 против 30 мин); hbr.org/2011/03</t>
        </is>
      </c>
      <c r="C14" s="8" t="inlineStr">
        <is>
          <t>[B] 2011/2021</t>
        </is>
      </c>
    </row>
    <row r="15">
      <c r="A15" s="5" t="inlineStr">
        <is>
          <t>ON24 Webinar Benchmarks Report</t>
        </is>
      </c>
      <c r="B15" s="6" t="inlineStr">
        <is>
          <t>Доходимость вебинаров ~40% в среднем; с напоминаниями выше. on24.com/resources</t>
        </is>
      </c>
      <c r="C15" s="8" t="inlineStr">
        <is>
          <t>[B] 2024</t>
        </is>
      </c>
    </row>
    <row r="16">
      <c r="A16" s="5" t="inlineStr">
        <is>
          <t>GetResponse Email Marketing Benchmarks</t>
        </is>
      </c>
      <c r="B16" s="6" t="inlineStr">
        <is>
          <t>Open rate образования ~28% — ориентир для email-цепочек. getresponse.com/resources/reports</t>
        </is>
      </c>
      <c r="C16" s="8" t="inlineStr">
        <is>
          <t>[B] 2024</t>
        </is>
      </c>
    </row>
    <row r="17">
      <c r="A17" s="5" t="inlineStr">
        <is>
          <t>David Skok, forentrepreneurs.com</t>
        </is>
      </c>
      <c r="B17" s="6" t="inlineStr">
        <is>
          <t>Норма LTV/CAC ≥ 3 для устойчивой юнит-экономики. forentrepreneurs.com/startup-killer</t>
        </is>
      </c>
      <c r="C17" s="8" t="inlineStr">
        <is>
          <t>[B] классика</t>
        </is>
      </c>
    </row>
    <row r="18">
      <c r="A18" s="5" t="inlineStr">
        <is>
          <t>Deloitte / The CMO Survey</t>
        </is>
      </c>
      <c r="B18" s="6" t="inlineStr">
        <is>
          <t>Маркетинговый бюджет ~10% выручки компании в среднем. cmosurvey.org</t>
        </is>
      </c>
      <c r="C18" s="8" t="inlineStr">
        <is>
          <t>[B] 2024</t>
        </is>
      </c>
    </row>
    <row r="19">
      <c r="A19" s="5" t="inlineStr">
        <is>
          <t>422-ФЗ «О налоге на профессиональный доход»</t>
        </is>
      </c>
      <c r="B19" s="6" t="inlineStr">
        <is>
          <t>Ограничения самозанятых: агентские схемы запрещены, лимит 2,4 млн ₽/год</t>
        </is>
      </c>
      <c r="C19" s="8" t="inlineStr">
        <is>
          <t>[B] 2018</t>
        </is>
      </c>
    </row>
    <row r="20">
      <c r="A20" s="5" t="inlineStr">
        <is>
          <t>ad-forecasting-and-testing.md (наша методичка)</t>
        </is>
      </c>
      <c r="B20" s="6" t="inlineStr">
        <is>
          <t>Двухэтапный дизайн тестов, расчёт мощности, правила очеловечивания текстов</t>
        </is>
      </c>
      <c r="C20" s="8" t="inlineStr">
        <is>
          <t>[C] 2026</t>
        </is>
      </c>
    </row>
    <row r="21">
      <c r="A21" s="5" t="inlineStr">
        <is>
          <t>Протокол R06 (проверка Telegram-каналов)</t>
        </is>
      </c>
      <c r="B21" s="6" t="inlineStr">
        <is>
          <t>TGStat-метрики канала до покупки посева</t>
        </is>
      </c>
      <c r="C21" s="8" t="inlineStr">
        <is>
          <t>[C] 2026</t>
        </is>
      </c>
    </row>
    <row r="23">
      <c r="A23" s="15" t="inlineStr">
        <is>
          <t>Честная оговорка</t>
        </is>
      </c>
      <c r="B23" s="16" t="inlineStr">
        <is>
          <t>Класс [B] — ориентиры рынка, они НЕ заменяют наши факты: везде, где есть данные МИГ [A], план опирается на них. Все допущения [C] выделены голубым и пересчитываются заменой одной ячейки.</t>
        </is>
      </c>
      <c r="C23" s="7" t="n"/>
    </row>
  </sheetData>
  <mergeCells count="1"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2026-08-17T20:58:11Z</dcterms:created>
  <dcterms:modified xmlns:dcterms="http://purl.org/dc/terms/" xmlns:xsi="http://www.w3.org/2001/XMLSchema-instance" xsi:type="dcterms:W3CDTF">2026-08-17T20:58:11Z</dcterms:modified>
</cp:coreProperties>
</file>